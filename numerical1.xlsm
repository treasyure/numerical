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asyure/Desktop/"/>
    </mc:Choice>
  </mc:AlternateContent>
  <xr:revisionPtr revIDLastSave="0" documentId="13_ncr:1_{4B8EB48F-3396-2742-9591-9E974FC2316E}" xr6:coauthVersionLast="41" xr6:coauthVersionMax="41" xr10:uidLastSave="{00000000-0000-0000-0000-000000000000}"/>
  <bookViews>
    <workbookView xWindow="760" yWindow="460" windowWidth="28040" windowHeight="16200" xr2:uid="{914955BF-51F4-3F4F-BC2A-613493FAFF62}"/>
  </bookViews>
  <sheets>
    <sheet name="Sheet1" sheetId="1" r:id="rId1"/>
  </sheets>
  <functionGroups builtInGroupCount="19"/>
  <definedNames>
    <definedName name="_xlchart.v1.0" hidden="1">Sheet1!$J$2:$J$102</definedName>
    <definedName name="_xlchart.v1.1" hidden="1">Sheet1!$K$1</definedName>
    <definedName name="_xlchart.v1.2" hidden="1">Sheet1!$K$2:$K$102</definedName>
    <definedName name="_xlchart.v1.3" hidden="1">Sheet1!$J$2:$J$102</definedName>
    <definedName name="_xlchart.v1.4" hidden="1">Sheet1!$K$1</definedName>
    <definedName name="_xlchart.v1.5" hidden="1">Sheet1!$K$2:$K$102</definedName>
    <definedName name="_xlchart.v1.6" hidden="1">Sheet1!$J$2:$J$102</definedName>
    <definedName name="_xlchart.v1.7" hidden="1">Sheet1!$K$1</definedName>
    <definedName name="_xlchart.v1.8" hidden="1">Sheet1!$K$2:$K$102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D5" i="1"/>
  <c r="D8" i="1"/>
  <c r="D3" i="1"/>
  <c r="D9" i="1"/>
  <c r="D7" i="1"/>
  <c r="D4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T102" i="1" l="1"/>
  <c r="T11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0" i="1"/>
  <c r="T9" i="1"/>
  <c r="T8" i="1"/>
  <c r="T7" i="1"/>
  <c r="T6" i="1"/>
  <c r="T5" i="1"/>
  <c r="T4" i="1"/>
  <c r="T3" i="1"/>
  <c r="T2" i="1"/>
  <c r="B9" i="1" l="1"/>
  <c r="K1" i="1"/>
  <c r="J1" i="1"/>
</calcChain>
</file>

<file path=xl/sharedStrings.xml><?xml version="1.0" encoding="utf-8"?>
<sst xmlns="http://schemas.openxmlformats.org/spreadsheetml/2006/main" count="36" uniqueCount="26">
  <si>
    <t>Delta</t>
  </si>
  <si>
    <t>Gamma</t>
  </si>
  <si>
    <t>Vega</t>
  </si>
  <si>
    <t>Theta</t>
  </si>
  <si>
    <t>Phi</t>
  </si>
  <si>
    <t>Rho</t>
  </si>
  <si>
    <t>Spot</t>
  </si>
  <si>
    <t>Value</t>
  </si>
  <si>
    <t>Domestic Interest Rate</t>
  </si>
  <si>
    <t xml:space="preserve">Foreign Interest Rate </t>
  </si>
  <si>
    <t>Volatility</t>
  </si>
  <si>
    <t>Strike</t>
  </si>
  <si>
    <t xml:space="preserve">Today's date </t>
  </si>
  <si>
    <t xml:space="preserve">Expiration date </t>
  </si>
  <si>
    <t>Time to maturity</t>
  </si>
  <si>
    <t>FX OPTION TABLE</t>
  </si>
  <si>
    <t>Start</t>
  </si>
  <si>
    <t>End</t>
  </si>
  <si>
    <t>Greeks</t>
  </si>
  <si>
    <t>Choices</t>
  </si>
  <si>
    <t>SETUP</t>
  </si>
  <si>
    <t>Points Between</t>
  </si>
  <si>
    <t>Greek 1</t>
  </si>
  <si>
    <t>Greek 2</t>
  </si>
  <si>
    <t>frtb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</si>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</sst>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10">
    <xf numFmtId="0" fontId="0" fillId="0" borderId="0" xfId="0"/>
    <xf numFmtId="0" fontId="1" fillId="0" borderId="0" xfId="2" applyFont="1" applyFill="1"/>
    <xf numFmtId="165" fontId="1" fillId="0" borderId="0" xfId="2" applyNumberFormat="1" applyFont="1" applyFill="1"/>
    <xf numFmtId="164" fontId="1" fillId="0" borderId="0" xfId="1" applyNumberFormat="1" applyFont="1" applyFill="1"/>
    <xf numFmtId="14" fontId="1" fillId="0" borderId="0" xfId="2" applyNumberFormat="1" applyFont="1" applyFill="1"/>
    <xf numFmtId="0" fontId="1" fillId="0" borderId="0" xfId="0" applyFont="1" applyFill="1"/>
    <xf numFmtId="0" fontId="0" fillId="0" borderId="0" xfId="2" applyFont="1" applyFill="1"/>
    <xf numFmtId="0" fontId="3" fillId="0" borderId="0" xfId="0" applyFont="1"/>
    <xf numFmtId="0" fontId="5" fillId="0" borderId="0" xfId="0" applyFont="1"/>
    <xf numFmtId="165" fontId="0" fillId="0" borderId="0" xfId="2" applyNumberFormat="1" applyFont="1" applyFill="1"/>
  </cellXfs>
  <cellStyles count="3">
    <cellStyle name="Neutral" xfId="2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Sheet1!$J$1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Sheet1!$J$2:$J$102</c:f>
              <c:numCache>
                <c:formatCode>General</c:formatCode>
                <c:ptCount val="101"/>
                <c:pt idx="0">
                  <c:v>-3.6279478323952737E-2</c:v>
                </c:pt>
                <c:pt idx="1">
                  <c:v>-4.9474113863499251E-2</c:v>
                </c:pt>
                <c:pt idx="2">
                  <c:v>-6.6715815717926591E-2</c:v>
                </c:pt>
                <c:pt idx="3">
                  <c:v>-8.8978729432643774E-2</c:v>
                </c:pt>
                <c:pt idx="4">
                  <c:v>-0.11738756733498786</c:v>
                </c:pt>
                <c:pt idx="5">
                  <c:v>-0.1532171866058393</c:v>
                </c:pt>
                <c:pt idx="6">
                  <c:v>-0.19788481461813515</c:v>
                </c:pt>
                <c:pt idx="7">
                  <c:v>-0.25293352252327711</c:v>
                </c:pt>
                <c:pt idx="8">
                  <c:v>-0.32000580799169065</c:v>
                </c:pt>
                <c:pt idx="9">
                  <c:v>-0.4008065530660877</c:v>
                </c:pt>
                <c:pt idx="10">
                  <c:v>-0.49705516858710352</c:v>
                </c:pt>
                <c:pt idx="11">
                  <c:v>-0.6104274037374835</c:v>
                </c:pt>
                <c:pt idx="12">
                  <c:v>-0.74248805428816766</c:v>
                </c:pt>
                <c:pt idx="13">
                  <c:v>-0.89461659867715893</c:v>
                </c:pt>
                <c:pt idx="14">
                  <c:v>-1.0679285684994517</c:v>
                </c:pt>
                <c:pt idx="15">
                  <c:v>-1.2631961537786234</c:v>
                </c:pt>
                <c:pt idx="16">
                  <c:v>-1.4807720865566703</c:v>
                </c:pt>
                <c:pt idx="17">
                  <c:v>-1.720521176831284</c:v>
                </c:pt>
                <c:pt idx="18">
                  <c:v>-1.9817639420871602</c:v>
                </c:pt>
                <c:pt idx="19">
                  <c:v>-2.2632365424301573</c:v>
                </c:pt>
                <c:pt idx="20">
                  <c:v>-2.5630706966021926</c:v>
                </c:pt>
                <c:pt idx="21">
                  <c:v>-2.8787964238788142</c:v>
                </c:pt>
                <c:pt idx="22">
                  <c:v>-3.207369372493361</c:v>
                </c:pt>
                <c:pt idx="23">
                  <c:v>-3.5452232197919145</c:v>
                </c:pt>
                <c:pt idx="24">
                  <c:v>-3.8883462449422272</c:v>
                </c:pt>
                <c:pt idx="25">
                  <c:v>-4.232379776527293</c:v>
                </c:pt>
                <c:pt idx="26">
                  <c:v>-4.5727349043795922</c:v>
                </c:pt>
                <c:pt idx="27">
                  <c:v>-4.9047227134297193</c:v>
                </c:pt>
                <c:pt idx="28">
                  <c:v>-5.2236924309321253</c:v>
                </c:pt>
                <c:pt idx="29">
                  <c:v>-5.52517134158352</c:v>
                </c:pt>
                <c:pt idx="30">
                  <c:v>-5.8050001572674432</c:v>
                </c:pt>
                <c:pt idx="31">
                  <c:v>-6.059457740861955</c:v>
                </c:pt>
                <c:pt idx="32">
                  <c:v>-6.2853696594733739</c:v>
                </c:pt>
                <c:pt idx="33">
                  <c:v>-6.4801959376435212</c:v>
                </c:pt>
                <c:pt idx="34">
                  <c:v>-6.6420945291494995</c:v>
                </c:pt>
                <c:pt idx="35">
                  <c:v>-6.769958344297037</c:v>
                </c:pt>
                <c:pt idx="36">
                  <c:v>-6.8634250663760401</c:v>
                </c:pt>
                <c:pt idx="37">
                  <c:v>-6.9228603730908231</c:v>
                </c:pt>
                <c:pt idx="38">
                  <c:v>-6.9493164591492427</c:v>
                </c:pt>
                <c:pt idx="39">
                  <c:v>-6.9444688599740356</c:v>
                </c:pt>
                <c:pt idx="40">
                  <c:v>-6.9105354460799768</c:v>
                </c:pt>
                <c:pt idx="41">
                  <c:v>-6.8501820557323345</c:v>
                </c:pt>
                <c:pt idx="42">
                  <c:v>-6.7664195442106676</c:v>
                </c:pt>
                <c:pt idx="43">
                  <c:v>-6.6624970562557406</c:v>
                </c:pt>
                <c:pt idx="44">
                  <c:v>-6.5417960974496907</c:v>
                </c:pt>
                <c:pt idx="45">
                  <c:v>-6.4077295286682112</c:v>
                </c:pt>
                <c:pt idx="46">
                  <c:v>-6.2636489842291239</c:v>
                </c:pt>
                <c:pt idx="47">
                  <c:v>-6.1127634737269867</c:v>
                </c:pt>
                <c:pt idx="48">
                  <c:v>-5.9580711258882841</c:v>
                </c:pt>
                <c:pt idx="49">
                  <c:v>-5.8023052234083607</c:v>
                </c:pt>
                <c:pt idx="50">
                  <c:v>-5.6478949077702838</c:v>
                </c:pt>
                <c:pt idx="51">
                  <c:v>-5.4969402410127577</c:v>
                </c:pt>
                <c:pt idx="52">
                  <c:v>-5.351200725745219</c:v>
                </c:pt>
                <c:pt idx="53">
                  <c:v>-5.2120959232656245</c:v>
                </c:pt>
                <c:pt idx="54">
                  <c:v>-5.0807164800635549</c:v>
                </c:pt>
                <c:pt idx="55">
                  <c:v>-4.9578436737616345</c:v>
                </c:pt>
                <c:pt idx="56">
                  <c:v>-4.8439755115118199</c:v>
                </c:pt>
                <c:pt idx="57">
                  <c:v>-4.7393574420847928</c:v>
                </c:pt>
                <c:pt idx="58">
                  <c:v>-4.6440158585927245</c:v>
                </c:pt>
                <c:pt idx="59">
                  <c:v>-4.5577927512211902</c:v>
                </c:pt>
                <c:pt idx="60">
                  <c:v>-4.4803800974794123</c:v>
                </c:pt>
                <c:pt idx="61">
                  <c:v>-4.4113528313765986</c:v>
                </c:pt>
                <c:pt idx="62">
                  <c:v>-4.3501994948221361</c:v>
                </c:pt>
                <c:pt idx="63">
                  <c:v>-4.2963499295204226</c:v>
                </c:pt>
                <c:pt idx="64">
                  <c:v>-4.2491996040173801</c:v>
                </c:pt>
                <c:pt idx="65">
                  <c:v>-4.2081303800053078</c:v>
                </c:pt>
                <c:pt idx="66">
                  <c:v>-4.1725276993181639</c:v>
                </c:pt>
                <c:pt idx="67">
                  <c:v>-4.1417943158910964</c:v>
                </c:pt>
                <c:pt idx="68">
                  <c:v>-4.1153608053350048</c:v>
                </c:pt>
                <c:pt idx="69">
                  <c:v>-4.092693160578583</c:v>
                </c:pt>
                <c:pt idx="70">
                  <c:v>-4.0732978284981911</c:v>
                </c:pt>
                <c:pt idx="71">
                  <c:v>-4.0567245636954254</c:v>
                </c:pt>
                <c:pt idx="72">
                  <c:v>-4.0425674761275339</c:v>
                </c:pt>
                <c:pt idx="73">
                  <c:v>-4.0304646337502819</c:v>
                </c:pt>
                <c:pt idx="74">
                  <c:v>-4.020096554086825</c:v>
                </c:pt>
                <c:pt idx="75">
                  <c:v>-4.0111838836668996</c:v>
                </c:pt>
                <c:pt idx="76">
                  <c:v>-4.0034845250244322</c:v>
                </c:pt>
                <c:pt idx="77">
                  <c:v>-3.9967904302313153</c:v>
                </c:pt>
                <c:pt idx="78">
                  <c:v>-3.9909242399992704</c:v>
                </c:pt>
                <c:pt idx="79">
                  <c:v>-3.9857359098341689</c:v>
                </c:pt>
                <c:pt idx="80">
                  <c:v>-3.9810994306839409</c:v>
                </c:pt>
                <c:pt idx="81">
                  <c:v>-3.9769097216342417</c:v>
                </c:pt>
                <c:pt idx="82">
                  <c:v>-3.9730797467551051</c:v>
                </c:pt>
                <c:pt idx="83">
                  <c:v>-3.9695378871761671</c:v>
                </c:pt>
                <c:pt idx="84">
                  <c:v>-3.9662255826439177</c:v>
                </c:pt>
                <c:pt idx="85">
                  <c:v>-3.963095243823652</c:v>
                </c:pt>
                <c:pt idx="86">
                  <c:v>-3.9601084269971922</c:v>
                </c:pt>
                <c:pt idx="87">
                  <c:v>-3.9572342560822449</c:v>
                </c:pt>
                <c:pt idx="88">
                  <c:v>-3.9544480725652633</c:v>
                </c:pt>
                <c:pt idx="89">
                  <c:v>-3.951730291525744</c:v>
                </c:pt>
                <c:pt idx="90">
                  <c:v>-3.9490654410062609</c:v>
                </c:pt>
                <c:pt idx="91">
                  <c:v>-3.9464413621711536</c:v>
                </c:pt>
                <c:pt idx="92">
                  <c:v>-3.9438485486756898</c:v>
                </c:pt>
                <c:pt idx="93">
                  <c:v>-3.9412796051707155</c:v>
                </c:pt>
                <c:pt idx="94">
                  <c:v>-3.9387288066825583</c:v>
                </c:pt>
                <c:pt idx="95">
                  <c:v>-3.9361917425693402</c:v>
                </c:pt>
                <c:pt idx="96">
                  <c:v>-3.9336650307401215</c:v>
                </c:pt>
                <c:pt idx="97">
                  <c:v>-3.9311460897449524</c:v>
                </c:pt>
                <c:pt idx="98">
                  <c:v>-3.928632958143595</c:v>
                </c:pt>
                <c:pt idx="99">
                  <c:v>-3.9261241522029708</c:v>
                </c:pt>
                <c:pt idx="100">
                  <c:v>-3.9236185544406603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F-D644-BB25-67BD76717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5164288"/>
        <c:axId val="1092700992"/>
      </c:lineChart>
      <c:catAx>
        <c:axId val="109516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00992"/>
        <c:crosses val="autoZero"/>
        <c:auto val="1"/>
        <c:lblAlgn val="ctr"/>
        <c:lblOffset val="100"/>
        <c:noMultiLvlLbl val="0"/>
      </c:catAx>
      <c:valAx>
        <c:axId val="109270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16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Sheet1!$K$2:$K$102</c:f>
              <c:numCache>
                <c:formatCode>General</c:formatCode>
                <c:ptCount val="101"/>
                <c:pt idx="0">
                  <c:v>6.5808516708733104E-4</c:v>
                </c:pt>
                <c:pt idx="1">
                  <c:v>8.8622800966989669E-4</c:v>
                </c:pt>
                <c:pt idx="2">
                  <c:v>1.1800844468738774E-3</c:v>
                </c:pt>
                <c:pt idx="3">
                  <c:v>1.5540115992042889E-3</c:v>
                </c:pt>
                <c:pt idx="4">
                  <c:v>2.0241237638309517E-3</c:v>
                </c:pt>
                <c:pt idx="5">
                  <c:v>2.6081249404931246E-3</c:v>
                </c:pt>
                <c:pt idx="6">
                  <c:v>3.3250176153152306E-3</c:v>
                </c:pt>
                <c:pt idx="7">
                  <c:v>4.194674821052017E-3</c:v>
                </c:pt>
                <c:pt idx="8">
                  <c:v>5.2372689330080118E-3</c:v>
                </c:pt>
                <c:pt idx="9">
                  <c:v>6.4725589916634864E-3</c:v>
                </c:pt>
                <c:pt idx="10">
                  <c:v>7.9190482200876683E-3</c:v>
                </c:pt>
                <c:pt idx="11">
                  <c:v>9.5930342694081731E-3</c:v>
                </c:pt>
                <c:pt idx="12">
                  <c:v>1.1507585832371459E-2</c:v>
                </c:pt>
                <c:pt idx="13">
                  <c:v>1.3671489723922934E-2</c:v>
                </c:pt>
                <c:pt idx="14">
                  <c:v>1.6088221375549532E-2</c:v>
                </c:pt>
                <c:pt idx="15">
                  <c:v>1.8754997976348383E-2</c:v>
                </c:pt>
                <c:pt idx="16">
                  <c:v>2.1661976376319385E-2</c:v>
                </c:pt>
                <c:pt idx="17">
                  <c:v>2.4791656707410004E-2</c:v>
                </c:pt>
                <c:pt idx="18">
                  <c:v>2.8118547122910953E-2</c:v>
                </c:pt>
                <c:pt idx="19">
                  <c:v>3.1609135100584843E-2</c:v>
                </c:pt>
                <c:pt idx="20">
                  <c:v>3.5222196771109347E-2</c:v>
                </c:pt>
                <c:pt idx="21">
                  <c:v>3.8909458463321757E-2</c:v>
                </c:pt>
                <c:pt idx="22">
                  <c:v>4.2616605169934027E-2</c:v>
                </c:pt>
                <c:pt idx="23">
                  <c:v>4.6284610247433709E-2</c:v>
                </c:pt>
                <c:pt idx="24">
                  <c:v>4.9851340827162416E-2</c:v>
                </c:pt>
                <c:pt idx="25">
                  <c:v>5.3253375601451297E-2</c:v>
                </c:pt>
                <c:pt idx="26">
                  <c:v>5.6427957215004834E-2</c:v>
                </c:pt>
                <c:pt idx="27">
                  <c:v>5.9314991557547728E-2</c:v>
                </c:pt>
                <c:pt idx="28">
                  <c:v>6.185900160339991E-2</c:v>
                </c:pt>
                <c:pt idx="29">
                  <c:v>6.401094445671919E-2</c:v>
                </c:pt>
                <c:pt idx="30">
                  <c:v>6.572980688149116E-2</c:v>
                </c:pt>
                <c:pt idx="31">
                  <c:v>6.6983906340342639E-2</c:v>
                </c:pt>
                <c:pt idx="32">
                  <c:v>6.7751840574649905E-2</c:v>
                </c:pt>
                <c:pt idx="33">
                  <c:v>6.8023047870762743E-2</c:v>
                </c:pt>
                <c:pt idx="34">
                  <c:v>6.7797961019961411E-2</c:v>
                </c:pt>
                <c:pt idx="35">
                  <c:v>6.7087759162183166E-2</c:v>
                </c:pt>
                <c:pt idx="36">
                  <c:v>6.5913741815176646E-2</c:v>
                </c:pt>
                <c:pt idx="37">
                  <c:v>6.4306367189110633E-2</c:v>
                </c:pt>
                <c:pt idx="38">
                  <c:v>6.2304011365444667E-2</c:v>
                </c:pt>
                <c:pt idx="39">
                  <c:v>5.9951515369872872E-2</c:v>
                </c:pt>
                <c:pt idx="40">
                  <c:v>5.7298593214666689E-2</c:v>
                </c:pt>
                <c:pt idx="41">
                  <c:v>5.4398175580787779E-2</c:v>
                </c:pt>
                <c:pt idx="42">
                  <c:v>5.1304761217187224E-2</c:v>
                </c:pt>
                <c:pt idx="43">
                  <c:v>4.8072841875765215E-2</c:v>
                </c:pt>
                <c:pt idx="44">
                  <c:v>4.4755457393099357E-2</c:v>
                </c:pt>
                <c:pt idx="45">
                  <c:v>4.1402926214581373E-2</c:v>
                </c:pt>
                <c:pt idx="46">
                  <c:v>3.8061784121789059E-2</c:v>
                </c:pt>
                <c:pt idx="47">
                  <c:v>3.4773951037614208E-2</c:v>
                </c:pt>
                <c:pt idx="48">
                  <c:v>3.157613333363677E-2</c:v>
                </c:pt>
                <c:pt idx="49">
                  <c:v>2.8499457712839477E-2</c:v>
                </c:pt>
                <c:pt idx="50">
                  <c:v>2.5569322995164269E-2</c:v>
                </c:pt>
                <c:pt idx="51">
                  <c:v>2.280544833185234E-2</c:v>
                </c:pt>
                <c:pt idx="52">
                  <c:v>2.0222090687010676E-2</c:v>
                </c:pt>
                <c:pt idx="53">
                  <c:v>1.7828400866475774E-2</c:v>
                </c:pt>
                <c:pt idx="54">
                  <c:v>1.5628885827430959E-2</c:v>
                </c:pt>
                <c:pt idx="55">
                  <c:v>1.3623945246194159E-2</c:v>
                </c:pt>
                <c:pt idx="56">
                  <c:v>1.1810452062564564E-2</c:v>
                </c:pt>
                <c:pt idx="57">
                  <c:v>1.0182349622450012E-2</c:v>
                </c:pt>
                <c:pt idx="58">
                  <c:v>8.7312417592694397E-3</c:v>
                </c:pt>
                <c:pt idx="59">
                  <c:v>7.4469563541611017E-3</c:v>
                </c:pt>
                <c:pt idx="60">
                  <c:v>6.3180672921163564E-3</c:v>
                </c:pt>
                <c:pt idx="61">
                  <c:v>5.3323640274802265E-3</c:v>
                </c:pt>
                <c:pt idx="62">
                  <c:v>4.4772619821717664E-3</c:v>
                </c:pt>
                <c:pt idx="63">
                  <c:v>3.7401505731889549E-3</c:v>
                </c:pt>
                <c:pt idx="64">
                  <c:v>3.1086787059308933E-3</c:v>
                </c:pt>
                <c:pt idx="65">
                  <c:v>2.5709800289222518E-3</c:v>
                </c:pt>
                <c:pt idx="66">
                  <c:v>2.1158421177409487E-3</c:v>
                </c:pt>
                <c:pt idx="67">
                  <c:v>1.7328250687962171E-3</c:v>
                </c:pt>
                <c:pt idx="68">
                  <c:v>1.4123357891837349E-3</c:v>
                </c:pt>
                <c:pt idx="69">
                  <c:v>1.1456646354662233E-3</c:v>
                </c:pt>
                <c:pt idx="70">
                  <c:v>9.2499105880458577E-4</c:v>
                </c:pt>
                <c:pt idx="71">
                  <c:v>7.4336463549480114E-4</c:v>
                </c:pt>
                <c:pt idx="72">
                  <c:v>5.9466737683820875E-4</c:v>
                </c:pt>
                <c:pt idx="73">
                  <c:v>4.7356258995872718E-4</c:v>
                </c:pt>
                <c:pt idx="74">
                  <c:v>3.7543486220856589E-4</c:v>
                </c:pt>
                <c:pt idx="75">
                  <c:v>2.9632501638327094E-4</c:v>
                </c:pt>
                <c:pt idx="76">
                  <c:v>2.3286317165412487E-4</c:v>
                </c:pt>
                <c:pt idx="77">
                  <c:v>1.8220237522458476E-4</c:v>
                </c:pt>
                <c:pt idx="78">
                  <c:v>1.4195466219868368E-4</c:v>
                </c:pt>
                <c:pt idx="79">
                  <c:v>1.1013086789829076E-4</c:v>
                </c:pt>
                <c:pt idx="80">
                  <c:v>8.5085063091790516E-5</c:v>
                </c:pt>
                <c:pt idx="81">
                  <c:v>6.5464108269125648E-5</c:v>
                </c:pt>
                <c:pt idx="82">
                  <c:v>5.016252431603844E-5</c:v>
                </c:pt>
                <c:pt idx="83">
                  <c:v>3.8282647160256987E-5</c:v>
                </c:pt>
                <c:pt idx="84">
                  <c:v>2.9099865050235332E-5</c:v>
                </c:pt>
                <c:pt idx="85">
                  <c:v>2.2032620214861824E-5</c:v>
                </c:pt>
                <c:pt idx="86">
                  <c:v>1.6616782801783797E-5</c:v>
                </c:pt>
                <c:pt idx="87">
                  <c:v>1.2483965676454153E-5</c:v>
                </c:pt>
                <c:pt idx="88">
                  <c:v>9.3433360942867112E-6</c:v>
                </c:pt>
                <c:pt idx="89">
                  <c:v>6.966487573046358E-6</c:v>
                </c:pt>
                <c:pt idx="90">
                  <c:v>5.1749566435962637E-6</c:v>
                </c:pt>
                <c:pt idx="91">
                  <c:v>3.8299997141946585E-6</c:v>
                </c:pt>
                <c:pt idx="92">
                  <c:v>2.8242811821257949E-6</c:v>
                </c:pt>
                <c:pt idx="93">
                  <c:v>2.0751621783465088E-6</c:v>
                </c:pt>
                <c:pt idx="94">
                  <c:v>1.5193177139888656E-6</c:v>
                </c:pt>
                <c:pt idx="95">
                  <c:v>1.1084469378464584E-6</c:v>
                </c:pt>
                <c:pt idx="96">
                  <c:v>8.0587566809236844E-7</c:v>
                </c:pt>
                <c:pt idx="97">
                  <c:v>5.8388170739598172E-7</c:v>
                </c:pt>
                <c:pt idx="98">
                  <c:v>4.2160138943495886E-7</c:v>
                </c:pt>
                <c:pt idx="99">
                  <c:v>3.0340027609640439E-7</c:v>
                </c:pt>
                <c:pt idx="100">
                  <c:v>2.1761203572441225E-7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EA-1943-8FCB-5B16BD4C3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5164288"/>
        <c:axId val="1092700992"/>
      </c:lineChart>
      <c:catAx>
        <c:axId val="109516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00992"/>
        <c:crosses val="autoZero"/>
        <c:auto val="1"/>
        <c:lblAlgn val="ctr"/>
        <c:lblOffset val="100"/>
        <c:noMultiLvlLbl val="0"/>
      </c:catAx>
      <c:valAx>
        <c:axId val="109270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16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Delta - Gamma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Sheet1!$K$1</c:f>
              <c:strCache>
                <c:ptCount val="1"/>
                <c:pt idx="0">
                  <c:v>Gamma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Sheet1!$J$2:$J$102</c:f>
              <c:numCache>
                <c:formatCode>General</c:formatCode>
                <c:ptCount val="101"/>
                <c:pt idx="0">
                  <c:v>-3.6279478323952737E-2</c:v>
                </c:pt>
                <c:pt idx="1">
                  <c:v>-4.9474113863499251E-2</c:v>
                </c:pt>
                <c:pt idx="2">
                  <c:v>-6.6715815717926591E-2</c:v>
                </c:pt>
                <c:pt idx="3">
                  <c:v>-8.8978729432643774E-2</c:v>
                </c:pt>
                <c:pt idx="4">
                  <c:v>-0.11738756733498786</c:v>
                </c:pt>
                <c:pt idx="5">
                  <c:v>-0.1532171866058393</c:v>
                </c:pt>
                <c:pt idx="6">
                  <c:v>-0.19788481461813515</c:v>
                </c:pt>
                <c:pt idx="7">
                  <c:v>-0.25293352252327711</c:v>
                </c:pt>
                <c:pt idx="8">
                  <c:v>-0.32000580799169065</c:v>
                </c:pt>
                <c:pt idx="9">
                  <c:v>-0.4008065530660877</c:v>
                </c:pt>
                <c:pt idx="10">
                  <c:v>-0.49705516858710352</c:v>
                </c:pt>
                <c:pt idx="11">
                  <c:v>-0.6104274037374835</c:v>
                </c:pt>
                <c:pt idx="12">
                  <c:v>-0.74248805428816766</c:v>
                </c:pt>
                <c:pt idx="13">
                  <c:v>-0.89461659867715893</c:v>
                </c:pt>
                <c:pt idx="14">
                  <c:v>-1.0679285684994517</c:v>
                </c:pt>
                <c:pt idx="15">
                  <c:v>-1.2631961537786234</c:v>
                </c:pt>
                <c:pt idx="16">
                  <c:v>-1.4807720865566703</c:v>
                </c:pt>
                <c:pt idx="17">
                  <c:v>-1.720521176831284</c:v>
                </c:pt>
                <c:pt idx="18">
                  <c:v>-1.9817639420871602</c:v>
                </c:pt>
                <c:pt idx="19">
                  <c:v>-2.2632365424301573</c:v>
                </c:pt>
                <c:pt idx="20">
                  <c:v>-2.5630706966021926</c:v>
                </c:pt>
                <c:pt idx="21">
                  <c:v>-2.8787964238788142</c:v>
                </c:pt>
                <c:pt idx="22">
                  <c:v>-3.207369372493361</c:v>
                </c:pt>
                <c:pt idx="23">
                  <c:v>-3.5452232197919145</c:v>
                </c:pt>
                <c:pt idx="24">
                  <c:v>-3.8883462449422272</c:v>
                </c:pt>
                <c:pt idx="25">
                  <c:v>-4.232379776527293</c:v>
                </c:pt>
                <c:pt idx="26">
                  <c:v>-4.5727349043795922</c:v>
                </c:pt>
                <c:pt idx="27">
                  <c:v>-4.9047227134297193</c:v>
                </c:pt>
                <c:pt idx="28">
                  <c:v>-5.2236924309321253</c:v>
                </c:pt>
                <c:pt idx="29">
                  <c:v>-5.52517134158352</c:v>
                </c:pt>
                <c:pt idx="30">
                  <c:v>-5.8050001572674432</c:v>
                </c:pt>
                <c:pt idx="31">
                  <c:v>-6.059457740861955</c:v>
                </c:pt>
                <c:pt idx="32">
                  <c:v>-6.2853696594733739</c:v>
                </c:pt>
                <c:pt idx="33">
                  <c:v>-6.4801959376435212</c:v>
                </c:pt>
                <c:pt idx="34">
                  <c:v>-6.6420945291494995</c:v>
                </c:pt>
                <c:pt idx="35">
                  <c:v>-6.769958344297037</c:v>
                </c:pt>
                <c:pt idx="36">
                  <c:v>-6.8634250663760401</c:v>
                </c:pt>
                <c:pt idx="37">
                  <c:v>-6.9228603730908231</c:v>
                </c:pt>
                <c:pt idx="38">
                  <c:v>-6.9493164591492427</c:v>
                </c:pt>
                <c:pt idx="39">
                  <c:v>-6.9444688599740356</c:v>
                </c:pt>
                <c:pt idx="40">
                  <c:v>-6.9105354460799768</c:v>
                </c:pt>
                <c:pt idx="41">
                  <c:v>-6.8501820557323345</c:v>
                </c:pt>
                <c:pt idx="42">
                  <c:v>-6.7664195442106676</c:v>
                </c:pt>
                <c:pt idx="43">
                  <c:v>-6.6624970562557406</c:v>
                </c:pt>
                <c:pt idx="44">
                  <c:v>-6.5417960974496907</c:v>
                </c:pt>
                <c:pt idx="45">
                  <c:v>-6.4077295286682112</c:v>
                </c:pt>
                <c:pt idx="46">
                  <c:v>-6.2636489842291239</c:v>
                </c:pt>
                <c:pt idx="47">
                  <c:v>-6.1127634737269867</c:v>
                </c:pt>
                <c:pt idx="48">
                  <c:v>-5.9580711258882841</c:v>
                </c:pt>
                <c:pt idx="49">
                  <c:v>-5.8023052234083607</c:v>
                </c:pt>
                <c:pt idx="50">
                  <c:v>-5.6478949077702838</c:v>
                </c:pt>
                <c:pt idx="51">
                  <c:v>-5.4969402410127577</c:v>
                </c:pt>
                <c:pt idx="52">
                  <c:v>-5.351200725745219</c:v>
                </c:pt>
                <c:pt idx="53">
                  <c:v>-5.2120959232656245</c:v>
                </c:pt>
                <c:pt idx="54">
                  <c:v>-5.0807164800635549</c:v>
                </c:pt>
                <c:pt idx="55">
                  <c:v>-4.9578436737616345</c:v>
                </c:pt>
                <c:pt idx="56">
                  <c:v>-4.8439755115118199</c:v>
                </c:pt>
                <c:pt idx="57">
                  <c:v>-4.7393574420847928</c:v>
                </c:pt>
                <c:pt idx="58">
                  <c:v>-4.6440158585927245</c:v>
                </c:pt>
                <c:pt idx="59">
                  <c:v>-4.5577927512211902</c:v>
                </c:pt>
                <c:pt idx="60">
                  <c:v>-4.4803800974794123</c:v>
                </c:pt>
                <c:pt idx="61">
                  <c:v>-4.4113528313765986</c:v>
                </c:pt>
                <c:pt idx="62">
                  <c:v>-4.3501994948221361</c:v>
                </c:pt>
                <c:pt idx="63">
                  <c:v>-4.2963499295204226</c:v>
                </c:pt>
                <c:pt idx="64">
                  <c:v>-4.2491996040173801</c:v>
                </c:pt>
                <c:pt idx="65">
                  <c:v>-4.2081303800053078</c:v>
                </c:pt>
                <c:pt idx="66">
                  <c:v>-4.1725276993181639</c:v>
                </c:pt>
                <c:pt idx="67">
                  <c:v>-4.1417943158910964</c:v>
                </c:pt>
                <c:pt idx="68">
                  <c:v>-4.1153608053350048</c:v>
                </c:pt>
                <c:pt idx="69">
                  <c:v>-4.092693160578583</c:v>
                </c:pt>
                <c:pt idx="70">
                  <c:v>-4.0732978284981911</c:v>
                </c:pt>
                <c:pt idx="71">
                  <c:v>-4.0567245636954254</c:v>
                </c:pt>
                <c:pt idx="72">
                  <c:v>-4.0425674761275339</c:v>
                </c:pt>
                <c:pt idx="73">
                  <c:v>-4.0304646337502819</c:v>
                </c:pt>
                <c:pt idx="74">
                  <c:v>-4.020096554086825</c:v>
                </c:pt>
                <c:pt idx="75">
                  <c:v>-4.0111838836668996</c:v>
                </c:pt>
                <c:pt idx="76">
                  <c:v>-4.0034845250244322</c:v>
                </c:pt>
                <c:pt idx="77">
                  <c:v>-3.9967904302313153</c:v>
                </c:pt>
                <c:pt idx="78">
                  <c:v>-3.9909242399992704</c:v>
                </c:pt>
                <c:pt idx="79">
                  <c:v>-3.9857359098341689</c:v>
                </c:pt>
                <c:pt idx="80">
                  <c:v>-3.9810994306839409</c:v>
                </c:pt>
                <c:pt idx="81">
                  <c:v>-3.9769097216342417</c:v>
                </c:pt>
                <c:pt idx="82">
                  <c:v>-3.9730797467551051</c:v>
                </c:pt>
                <c:pt idx="83">
                  <c:v>-3.9695378871761671</c:v>
                </c:pt>
                <c:pt idx="84">
                  <c:v>-3.9662255826439177</c:v>
                </c:pt>
                <c:pt idx="85">
                  <c:v>-3.963095243823652</c:v>
                </c:pt>
                <c:pt idx="86">
                  <c:v>-3.9601084269971922</c:v>
                </c:pt>
                <c:pt idx="87">
                  <c:v>-3.9572342560822449</c:v>
                </c:pt>
                <c:pt idx="88">
                  <c:v>-3.9544480725652633</c:v>
                </c:pt>
                <c:pt idx="89">
                  <c:v>-3.951730291525744</c:v>
                </c:pt>
                <c:pt idx="90">
                  <c:v>-3.9490654410062609</c:v>
                </c:pt>
                <c:pt idx="91">
                  <c:v>-3.9464413621711536</c:v>
                </c:pt>
                <c:pt idx="92">
                  <c:v>-3.9438485486756898</c:v>
                </c:pt>
                <c:pt idx="93">
                  <c:v>-3.9412796051707155</c:v>
                </c:pt>
                <c:pt idx="94">
                  <c:v>-3.9387288066825583</c:v>
                </c:pt>
                <c:pt idx="95">
                  <c:v>-3.9361917425693402</c:v>
                </c:pt>
                <c:pt idx="96">
                  <c:v>-3.9336650307401215</c:v>
                </c:pt>
                <c:pt idx="97">
                  <c:v>-3.9311460897449524</c:v>
                </c:pt>
                <c:pt idx="98">
                  <c:v>-3.928632958143595</c:v>
                </c:pt>
                <c:pt idx="99">
                  <c:v>-3.9261241522029708</c:v>
                </c:pt>
                <c:pt idx="100">
                  <c:v>-3.9236185544406603</c:v>
                </c:pt>
              </c:numCache>
            </c:numRef>
          </c:xVal>
          <c:yVal>
            <c:numRef>
              <c:f>Sheet1!$K$2:$K$102</c:f>
              <c:numCache>
                <c:formatCode>General</c:formatCode>
                <c:ptCount val="101"/>
                <c:pt idx="0">
                  <c:v>6.5808516708733104E-4</c:v>
                </c:pt>
                <c:pt idx="1">
                  <c:v>8.8622800966989669E-4</c:v>
                </c:pt>
                <c:pt idx="2">
                  <c:v>1.1800844468738774E-3</c:v>
                </c:pt>
                <c:pt idx="3">
                  <c:v>1.5540115992042889E-3</c:v>
                </c:pt>
                <c:pt idx="4">
                  <c:v>2.0241237638309517E-3</c:v>
                </c:pt>
                <c:pt idx="5">
                  <c:v>2.6081249404931246E-3</c:v>
                </c:pt>
                <c:pt idx="6">
                  <c:v>3.3250176153152306E-3</c:v>
                </c:pt>
                <c:pt idx="7">
                  <c:v>4.194674821052017E-3</c:v>
                </c:pt>
                <c:pt idx="8">
                  <c:v>5.2372689330080118E-3</c:v>
                </c:pt>
                <c:pt idx="9">
                  <c:v>6.4725589916634864E-3</c:v>
                </c:pt>
                <c:pt idx="10">
                  <c:v>7.9190482200876683E-3</c:v>
                </c:pt>
                <c:pt idx="11">
                  <c:v>9.5930342694081731E-3</c:v>
                </c:pt>
                <c:pt idx="12">
                  <c:v>1.1507585832371459E-2</c:v>
                </c:pt>
                <c:pt idx="13">
                  <c:v>1.3671489723922934E-2</c:v>
                </c:pt>
                <c:pt idx="14">
                  <c:v>1.6088221375549532E-2</c:v>
                </c:pt>
                <c:pt idx="15">
                  <c:v>1.8754997976348383E-2</c:v>
                </c:pt>
                <c:pt idx="16">
                  <c:v>2.1661976376319385E-2</c:v>
                </c:pt>
                <c:pt idx="17">
                  <c:v>2.4791656707410004E-2</c:v>
                </c:pt>
                <c:pt idx="18">
                  <c:v>2.8118547122910953E-2</c:v>
                </c:pt>
                <c:pt idx="19">
                  <c:v>3.1609135100584843E-2</c:v>
                </c:pt>
                <c:pt idx="20">
                  <c:v>3.5222196771109347E-2</c:v>
                </c:pt>
                <c:pt idx="21">
                  <c:v>3.8909458463321757E-2</c:v>
                </c:pt>
                <c:pt idx="22">
                  <c:v>4.2616605169934027E-2</c:v>
                </c:pt>
                <c:pt idx="23">
                  <c:v>4.6284610247433709E-2</c:v>
                </c:pt>
                <c:pt idx="24">
                  <c:v>4.9851340827162416E-2</c:v>
                </c:pt>
                <c:pt idx="25">
                  <c:v>5.3253375601451297E-2</c:v>
                </c:pt>
                <c:pt idx="26">
                  <c:v>5.6427957215004834E-2</c:v>
                </c:pt>
                <c:pt idx="27">
                  <c:v>5.9314991557547728E-2</c:v>
                </c:pt>
                <c:pt idx="28">
                  <c:v>6.185900160339991E-2</c:v>
                </c:pt>
                <c:pt idx="29">
                  <c:v>6.401094445671919E-2</c:v>
                </c:pt>
                <c:pt idx="30">
                  <c:v>6.572980688149116E-2</c:v>
                </c:pt>
                <c:pt idx="31">
                  <c:v>6.6983906340342639E-2</c:v>
                </c:pt>
                <c:pt idx="32">
                  <c:v>6.7751840574649905E-2</c:v>
                </c:pt>
                <c:pt idx="33">
                  <c:v>6.8023047870762743E-2</c:v>
                </c:pt>
                <c:pt idx="34">
                  <c:v>6.7797961019961411E-2</c:v>
                </c:pt>
                <c:pt idx="35">
                  <c:v>6.7087759162183166E-2</c:v>
                </c:pt>
                <c:pt idx="36">
                  <c:v>6.5913741815176646E-2</c:v>
                </c:pt>
                <c:pt idx="37">
                  <c:v>6.4306367189110633E-2</c:v>
                </c:pt>
                <c:pt idx="38">
                  <c:v>6.2304011365444667E-2</c:v>
                </c:pt>
                <c:pt idx="39">
                  <c:v>5.9951515369872872E-2</c:v>
                </c:pt>
                <c:pt idx="40">
                  <c:v>5.7298593214666689E-2</c:v>
                </c:pt>
                <c:pt idx="41">
                  <c:v>5.4398175580787779E-2</c:v>
                </c:pt>
                <c:pt idx="42">
                  <c:v>5.1304761217187224E-2</c:v>
                </c:pt>
                <c:pt idx="43">
                  <c:v>4.8072841875765215E-2</c:v>
                </c:pt>
                <c:pt idx="44">
                  <c:v>4.4755457393099357E-2</c:v>
                </c:pt>
                <c:pt idx="45">
                  <c:v>4.1402926214581373E-2</c:v>
                </c:pt>
                <c:pt idx="46">
                  <c:v>3.8061784121789059E-2</c:v>
                </c:pt>
                <c:pt idx="47">
                  <c:v>3.4773951037614208E-2</c:v>
                </c:pt>
                <c:pt idx="48">
                  <c:v>3.157613333363677E-2</c:v>
                </c:pt>
                <c:pt idx="49">
                  <c:v>2.8499457712839477E-2</c:v>
                </c:pt>
                <c:pt idx="50">
                  <c:v>2.5569322995164269E-2</c:v>
                </c:pt>
                <c:pt idx="51">
                  <c:v>2.280544833185234E-2</c:v>
                </c:pt>
                <c:pt idx="52">
                  <c:v>2.0222090687010676E-2</c:v>
                </c:pt>
                <c:pt idx="53">
                  <c:v>1.7828400866475774E-2</c:v>
                </c:pt>
                <c:pt idx="54">
                  <c:v>1.5628885827430959E-2</c:v>
                </c:pt>
                <c:pt idx="55">
                  <c:v>1.3623945246194159E-2</c:v>
                </c:pt>
                <c:pt idx="56">
                  <c:v>1.1810452062564564E-2</c:v>
                </c:pt>
                <c:pt idx="57">
                  <c:v>1.0182349622450012E-2</c:v>
                </c:pt>
                <c:pt idx="58">
                  <c:v>8.7312417592694397E-3</c:v>
                </c:pt>
                <c:pt idx="59">
                  <c:v>7.4469563541611017E-3</c:v>
                </c:pt>
                <c:pt idx="60">
                  <c:v>6.3180672921163564E-3</c:v>
                </c:pt>
                <c:pt idx="61">
                  <c:v>5.3323640274802265E-3</c:v>
                </c:pt>
                <c:pt idx="62">
                  <c:v>4.4772619821717664E-3</c:v>
                </c:pt>
                <c:pt idx="63">
                  <c:v>3.7401505731889549E-3</c:v>
                </c:pt>
                <c:pt idx="64">
                  <c:v>3.1086787059308933E-3</c:v>
                </c:pt>
                <c:pt idx="65">
                  <c:v>2.5709800289222518E-3</c:v>
                </c:pt>
                <c:pt idx="66">
                  <c:v>2.1158421177409487E-3</c:v>
                </c:pt>
                <c:pt idx="67">
                  <c:v>1.7328250687962171E-3</c:v>
                </c:pt>
                <c:pt idx="68">
                  <c:v>1.4123357891837349E-3</c:v>
                </c:pt>
                <c:pt idx="69">
                  <c:v>1.1456646354662233E-3</c:v>
                </c:pt>
                <c:pt idx="70">
                  <c:v>9.2499105880458577E-4</c:v>
                </c:pt>
                <c:pt idx="71">
                  <c:v>7.4336463549480114E-4</c:v>
                </c:pt>
                <c:pt idx="72">
                  <c:v>5.9466737683820875E-4</c:v>
                </c:pt>
                <c:pt idx="73">
                  <c:v>4.7356258995872718E-4</c:v>
                </c:pt>
                <c:pt idx="74">
                  <c:v>3.7543486220856589E-4</c:v>
                </c:pt>
                <c:pt idx="75">
                  <c:v>2.9632501638327094E-4</c:v>
                </c:pt>
                <c:pt idx="76">
                  <c:v>2.3286317165412487E-4</c:v>
                </c:pt>
                <c:pt idx="77">
                  <c:v>1.8220237522458476E-4</c:v>
                </c:pt>
                <c:pt idx="78">
                  <c:v>1.4195466219868368E-4</c:v>
                </c:pt>
                <c:pt idx="79">
                  <c:v>1.1013086789829076E-4</c:v>
                </c:pt>
                <c:pt idx="80">
                  <c:v>8.5085063091790516E-5</c:v>
                </c:pt>
                <c:pt idx="81">
                  <c:v>6.5464108269125648E-5</c:v>
                </c:pt>
                <c:pt idx="82">
                  <c:v>5.016252431603844E-5</c:v>
                </c:pt>
                <c:pt idx="83">
                  <c:v>3.8282647160256987E-5</c:v>
                </c:pt>
                <c:pt idx="84">
                  <c:v>2.9099865050235332E-5</c:v>
                </c:pt>
                <c:pt idx="85">
                  <c:v>2.2032620214861824E-5</c:v>
                </c:pt>
                <c:pt idx="86">
                  <c:v>1.6616782801783797E-5</c:v>
                </c:pt>
                <c:pt idx="87">
                  <c:v>1.2483965676454153E-5</c:v>
                </c:pt>
                <c:pt idx="88">
                  <c:v>9.3433360942867112E-6</c:v>
                </c:pt>
                <c:pt idx="89">
                  <c:v>6.966487573046358E-6</c:v>
                </c:pt>
                <c:pt idx="90">
                  <c:v>5.1749566435962637E-6</c:v>
                </c:pt>
                <c:pt idx="91">
                  <c:v>3.8299997141946585E-6</c:v>
                </c:pt>
                <c:pt idx="92">
                  <c:v>2.8242811821257949E-6</c:v>
                </c:pt>
                <c:pt idx="93">
                  <c:v>2.0751621783465088E-6</c:v>
                </c:pt>
                <c:pt idx="94">
                  <c:v>1.5193177139888656E-6</c:v>
                </c:pt>
                <c:pt idx="95">
                  <c:v>1.1084469378464584E-6</c:v>
                </c:pt>
                <c:pt idx="96">
                  <c:v>8.0587566809236844E-7</c:v>
                </c:pt>
                <c:pt idx="97">
                  <c:v>5.8388170739598172E-7</c:v>
                </c:pt>
                <c:pt idx="98">
                  <c:v>4.2160138943495886E-7</c:v>
                </c:pt>
                <c:pt idx="99">
                  <c:v>3.0340027609640439E-7</c:v>
                </c:pt>
                <c:pt idx="100">
                  <c:v>2.1761203572441225E-7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E3-2F41-BACF-A3C867E39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64288"/>
        <c:axId val="1092700992"/>
      </c:scatterChart>
      <c:valAx>
        <c:axId val="109516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00992"/>
        <c:crosses val="autoZero"/>
        <c:crossBetween val="midCat"/>
      </c:valAx>
      <c:valAx>
        <c:axId val="109270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16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Sheet1!$T$1</c:f>
              <c:strCache>
                <c:ptCount val="1"/>
                <c:pt idx="0">
                  <c:v>Difference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Sheet1!$I$2:$I$103</c:f>
              <c:numCache>
                <c:formatCode>General</c:formatCode>
                <c:ptCount val="102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Sheet1!$T$2:$T$102</c:f>
              <c:numCache>
                <c:formatCode>General</c:formatCode>
                <c:ptCount val="101"/>
                <c:pt idx="0">
                  <c:v>-3.7664401592014361E-2</c:v>
                </c:pt>
                <c:pt idx="1">
                  <c:v>-5.1381912736841472E-2</c:v>
                </c:pt>
                <c:pt idx="2">
                  <c:v>-6.9316110371780149E-2</c:v>
                </c:pt>
                <c:pt idx="3">
                  <c:v>-9.2486045793699845E-2</c:v>
                </c:pt>
                <c:pt idx="4">
                  <c:v>-0.12206996548257901</c:v>
                </c:pt>
                <c:pt idx="5">
                  <c:v>-0.15940562035951428</c:v>
                </c:pt>
                <c:pt idx="6">
                  <c:v>-0.2059830348218474</c:v>
                </c:pt>
                <c:pt idx="7">
                  <c:v>-0.26342826430052413</c:v>
                </c:pt>
                <c:pt idx="8">
                  <c:v>-0.33347692900275233</c:v>
                </c:pt>
                <c:pt idx="9">
                  <c:v>-0.41793672031805218</c:v>
                </c:pt>
                <c:pt idx="10">
                  <c:v>-0.51863863104271757</c:v>
                </c:pt>
                <c:pt idx="11">
                  <c:v>-0.63737734254995748</c:v>
                </c:pt>
                <c:pt idx="12">
                  <c:v>-0.77584197752857853</c:v>
                </c:pt>
                <c:pt idx="13">
                  <c:v>-0.93553924786848719</c:v>
                </c:pt>
                <c:pt idx="14">
                  <c:v>-1.117711833950932</c:v>
                </c:pt>
                <c:pt idx="15">
                  <c:v>-1.3232555568625626</c:v>
                </c:pt>
                <c:pt idx="16">
                  <c:v>-1.5526394799562604</c:v>
                </c:pt>
                <c:pt idx="17">
                  <c:v>-1.8058334364677224</c:v>
                </c:pt>
                <c:pt idx="18">
                  <c:v>-2.0822475726734067</c:v>
                </c:pt>
                <c:pt idx="19">
                  <c:v>-2.3806882859854257</c:v>
                </c:pt>
                <c:pt idx="20">
                  <c:v>-2.6993344115209044</c:v>
                </c:pt>
                <c:pt idx="21">
                  <c:v>-3.0357366816283888</c:v>
                </c:pt>
                <c:pt idx="22">
                  <c:v>-3.3868423893293356</c:v>
                </c:pt>
                <c:pt idx="23">
                  <c:v>-3.7490458916330942</c:v>
                </c:pt>
                <c:pt idx="24">
                  <c:v>-4.118264175108159</c:v>
                </c:pt>
                <c:pt idx="25">
                  <c:v>-4.4900352702640429</c:v>
                </c:pt>
                <c:pt idx="26">
                  <c:v>-4.8596359449668762</c:v>
                </c:pt>
                <c:pt idx="27">
                  <c:v>-5.2222139287506231</c:v>
                </c:pt>
                <c:pt idx="28">
                  <c:v>-5.5729290061471541</c:v>
                </c:pt>
                <c:pt idx="29">
                  <c:v>-5.9070967353625301</c:v>
                </c:pt>
                <c:pt idx="30">
                  <c:v>-6.220328341028984</c:v>
                </c:pt>
                <c:pt idx="31">
                  <c:v>-6.5086605101602917</c:v>
                </c:pt>
                <c:pt idx="32">
                  <c:v>-6.7686693733951167</c:v>
                </c:pt>
                <c:pt idx="33">
                  <c:v>-6.9975638363173474</c:v>
                </c:pt>
                <c:pt idx="34">
                  <c:v>-7.1932545721470609</c:v>
                </c:pt>
                <c:pt idx="35">
                  <c:v>-7.3543963144113427</c:v>
                </c:pt>
                <c:pt idx="36">
                  <c:v>-7.4804025036197057</c:v>
                </c:pt>
                <c:pt idx="37">
                  <c:v>-7.5714327508259691</c:v>
                </c:pt>
                <c:pt idx="38">
                  <c:v>-7.6283548941343975</c:v>
                </c:pt>
                <c:pt idx="39">
                  <c:v>-7.6526845646564388</c:v>
                </c:pt>
                <c:pt idx="40">
                  <c:v>-7.6465060862381762</c:v>
                </c:pt>
                <c:pt idx="41">
                  <c:v>-7.6123791689242415</c:v>
                </c:pt>
                <c:pt idx="42">
                  <c:v>-7.5532362017618579</c:v>
                </c:pt>
                <c:pt idx="43">
                  <c:v>-7.4722750094378689</c:v>
                </c:pt>
                <c:pt idx="44">
                  <c:v>-7.3728517315287885</c:v>
                </c:pt>
                <c:pt idx="45">
                  <c:v>-7.258378050352591</c:v>
                </c:pt>
                <c:pt idx="46">
                  <c:v>-7.1322263821067517</c:v>
                </c:pt>
                <c:pt idx="47">
                  <c:v>-6.997645911046674</c:v>
                </c:pt>
                <c:pt idx="48">
                  <c:v>-6.8576915444724476</c:v>
                </c:pt>
                <c:pt idx="49">
                  <c:v>-6.7151670513108037</c:v>
                </c:pt>
                <c:pt idx="50">
                  <c:v>-6.572582867191346</c:v>
                </c:pt>
                <c:pt idx="51">
                  <c:v>-6.4321283437101355</c:v>
                </c:pt>
                <c:pt idx="52">
                  <c:v>-6.2956576185884838</c:v>
                </c:pt>
                <c:pt idx="53">
                  <c:v>-6.1646878055922718</c:v>
                </c:pt>
                <c:pt idx="54">
                  <c:v>-6.0404078569817772</c:v>
                </c:pt>
                <c:pt idx="55">
                  <c:v>-5.9236962362027192</c:v>
                </c:pt>
                <c:pt idx="56">
                  <c:v>-5.8151454460075556</c:v>
                </c:pt>
                <c:pt idx="57">
                  <c:v>-5.7150914727423734</c:v>
                </c:pt>
                <c:pt idx="58">
                  <c:v>-5.6236463126701262</c:v>
                </c:pt>
                <c:pt idx="59">
                  <c:v>-5.5407319203059213</c:v>
                </c:pt>
                <c:pt idx="60">
                  <c:v>-5.4661141407737617</c:v>
                </c:pt>
                <c:pt idx="61">
                  <c:v>-5.3994354381002019</c:v>
                </c:pt>
                <c:pt idx="62">
                  <c:v>-5.3402454911580666</c:v>
                </c:pt>
                <c:pt idx="63">
                  <c:v>-5.2880289834896912</c:v>
                </c:pt>
                <c:pt idx="64">
                  <c:v>-5.242230150509525</c:v>
                </c:pt>
                <c:pt idx="65">
                  <c:v>-5.2022738589567092</c:v>
                </c:pt>
                <c:pt idx="66">
                  <c:v>-5.1675831734589508</c:v>
                </c:pt>
                <c:pt idx="67">
                  <c:v>-5.1375935110507411</c:v>
                </c:pt>
                <c:pt idx="68">
                  <c:v>-5.1117635962469397</c:v>
                </c:pt>
                <c:pt idx="69">
                  <c:v>-5.0895835084964238</c:v>
                </c:pt>
                <c:pt idx="70">
                  <c:v>-5.070580163621587</c:v>
                </c:pt>
                <c:pt idx="71">
                  <c:v>-5.0543205951716192</c:v>
                </c:pt>
                <c:pt idx="72">
                  <c:v>-5.0404134049410265</c:v>
                </c:pt>
                <c:pt idx="73">
                  <c:v>-5.0285087387845397</c:v>
                </c:pt>
                <c:pt idx="74">
                  <c:v>-5.01829711866678</c:v>
                </c:pt>
                <c:pt idx="75">
                  <c:v>-5.0095074286012942</c:v>
                </c:pt>
                <c:pt idx="76">
                  <c:v>-5.0019043142116661</c:v>
                </c:pt>
                <c:pt idx="77">
                  <c:v>-4.9952852159529417</c:v>
                </c:pt>
                <c:pt idx="78">
                  <c:v>-4.9894772168183898</c:v>
                </c:pt>
                <c:pt idx="79">
                  <c:v>-4.984333848300297</c:v>
                </c:pt>
                <c:pt idx="80">
                  <c:v>-4.9797319646209139</c:v>
                </c:pt>
                <c:pt idx="81">
                  <c:v>-4.9755687654919152</c:v>
                </c:pt>
                <c:pt idx="82">
                  <c:v>-4.9717590222142336</c:v>
                </c:pt>
                <c:pt idx="83">
                  <c:v>-4.968232540816369</c:v>
                </c:pt>
                <c:pt idx="84">
                  <c:v>-4.9649318789521919</c:v>
                </c:pt>
                <c:pt idx="85">
                  <c:v>-4.9618103200930532</c:v>
                </c:pt>
                <c:pt idx="86">
                  <c:v>-4.9588300987196554</c:v>
                </c:pt>
                <c:pt idx="87">
                  <c:v>-4.9559608632668208</c:v>
                </c:pt>
                <c:pt idx="88">
                  <c:v>-4.9531783590149363</c:v>
                </c:pt>
                <c:pt idx="89">
                  <c:v>-4.9504633104938041</c:v>
                </c:pt>
                <c:pt idx="90">
                  <c:v>-4.9478004818399786</c:v>
                </c:pt>
                <c:pt idx="91">
                  <c:v>-4.9451778935560213</c:v>
                </c:pt>
                <c:pt idx="92">
                  <c:v>-4.9425861749362552</c:v>
                </c:pt>
                <c:pt idx="93">
                  <c:v>-4.9400180327841827</c:v>
                </c:pt>
                <c:pt idx="94">
                  <c:v>-4.9374678187379963</c:v>
                </c:pt>
                <c:pt idx="95">
                  <c:v>-4.9349311793761776</c:v>
                </c:pt>
                <c:pt idx="96">
                  <c:v>-4.93240477517163</c:v>
                </c:pt>
                <c:pt idx="97">
                  <c:v>-4.929886056209309</c:v>
                </c:pt>
                <c:pt idx="98">
                  <c:v>-4.9273730843207177</c:v>
                </c:pt>
                <c:pt idx="99">
                  <c:v>-4.9248643928799147</c:v>
                </c:pt>
                <c:pt idx="100">
                  <c:v>-4.9223588769318471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F-1943-BEE6-F0191969A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4338464"/>
        <c:axId val="1016114384"/>
      </c:lineChart>
      <c:catAx>
        <c:axId val="109433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114384"/>
        <c:crosses val="autoZero"/>
        <c:auto val="1"/>
        <c:lblAlgn val="ctr"/>
        <c:lblOffset val="100"/>
        <c:noMultiLvlLbl val="0"/>
      </c:catAx>
      <c:valAx>
        <c:axId val="101611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33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12700</xdr:rowOff>
        </xdr:from>
        <xdr:to>
          <xdr:col>6</xdr:col>
          <xdr:colOff>635000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19</xdr:row>
          <xdr:rowOff>114300</xdr:rowOff>
        </xdr:from>
        <xdr:to>
          <xdr:col>6</xdr:col>
          <xdr:colOff>660400</xdr:colOff>
          <xdr:row>21</xdr:row>
          <xdr:rowOff>88900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Graph using vba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146050</xdr:rowOff>
    </xdr:from>
    <xdr:to>
      <xdr:col>4</xdr:col>
      <xdr:colOff>25400</xdr:colOff>
      <xdr:row>24</xdr:row>
      <xdr:rowOff>44450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76200</xdr:rowOff>
    </xdr:from>
    <xdr:to>
      <xdr:col>4</xdr:col>
      <xdr:colOff>25400</xdr:colOff>
      <xdr:row>38</xdr:row>
      <xdr:rowOff>177800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38100</xdr:rowOff>
    </xdr:from>
    <xdr:to>
      <xdr:col>4</xdr:col>
      <xdr:colOff>25400</xdr:colOff>
      <xdr:row>53</xdr:row>
      <xdr:rowOff>139700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22</xdr:row>
          <xdr:rowOff>25400</xdr:rowOff>
        </xdr:from>
        <xdr:to>
          <xdr:col>6</xdr:col>
          <xdr:colOff>685800</xdr:colOff>
          <xdr:row>24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120650</xdr:colOff>
      <xdr:row>10</xdr:row>
      <xdr:rowOff>146050</xdr:rowOff>
    </xdr:from>
    <xdr:to>
      <xdr:col>25</xdr:col>
      <xdr:colOff>520700</xdr:colOff>
      <xdr:row>24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0A40-531C-5E4B-A8D2-3C430C847F2D}">
  <sheetPr codeName="Sheet1"/>
  <dimension ref="A1:T102"/>
  <sheetViews>
    <sheetView tabSelected="1" workbookViewId="0">
      <selection activeCell="B3" sqref="B3"/>
    </sheetView>
  </sheetViews>
  <sheetFormatPr baseColWidth="10" defaultRowHeight="16" x14ac:dyDescent="0.2"/>
  <cols>
    <col min="1" max="1" width="18.6640625" customWidth="1"/>
    <col min="2" max="2" width="19.33203125" bestFit="1" customWidth="1"/>
    <col min="5" max="5" width="13.1640625" customWidth="1"/>
    <col min="6" max="6" width="13.33203125" customWidth="1"/>
    <col min="10" max="11" width="10.1640625" customWidth="1"/>
  </cols>
  <sheetData>
    <row r="1" spans="1:20" x14ac:dyDescent="0.2">
      <c r="A1" s="1"/>
      <c r="B1" s="6" t="s">
        <v>15</v>
      </c>
      <c r="C1" s="1"/>
      <c r="D1" s="2"/>
      <c r="F1" s="7" t="s">
        <v>20</v>
      </c>
      <c r="I1" t="s">
        <v>6</v>
      </c>
      <c r="J1" t="str">
        <f>G8</f>
        <v>Theta</v>
      </c>
      <c r="K1" t="str">
        <f>G9</f>
        <v>Gamma</v>
      </c>
      <c r="S1" s="8" t="s">
        <v>24</v>
      </c>
      <c r="T1" t="s">
        <v>25</v>
      </c>
    </row>
    <row r="2" spans="1:20" x14ac:dyDescent="0.2">
      <c r="A2" s="1"/>
      <c r="B2" s="3"/>
      <c r="C2" s="1"/>
      <c r="D2" s="2"/>
      <c r="F2" s="7" t="s">
        <v>6</v>
      </c>
      <c r="I2">
        <v>100</v>
      </c>
      <c r="J2">
        <v>-3.6279478323952737E-2</v>
      </c>
      <c r="K2">
        <v>6.5808516708733104E-4</v>
      </c>
      <c r="S2">
        <f t="shared" ref="S2:S33" si="0">(fx_call(I2*1.01,$B$4,$B$5,$B$6,$B$7,$B$8,$B$9)-fx_call(I2,$B$4,$B$5,$B$6,$B$7,$B$8,$B$9))/0.01/I2</f>
        <v>1.3849232680616217E-3</v>
      </c>
      <c r="T2">
        <f>J2-S2</f>
        <v>-3.7664401592014361E-2</v>
      </c>
    </row>
    <row r="3" spans="1:20" x14ac:dyDescent="0.2">
      <c r="A3" s="1" t="s">
        <v>6</v>
      </c>
      <c r="B3" s="1">
        <v>120</v>
      </c>
      <c r="C3" s="1" t="s">
        <v>7</v>
      </c>
      <c r="D3" s="2">
        <f>fx_call(B3,B4,B5,B6,B7,B8,B9)</f>
        <v>4.1882823465556216</v>
      </c>
      <c r="F3" t="s">
        <v>16</v>
      </c>
      <c r="G3">
        <v>100</v>
      </c>
      <c r="I3">
        <v>100.5</v>
      </c>
      <c r="J3">
        <v>-4.9474113863499251E-2</v>
      </c>
      <c r="K3">
        <v>8.8622800966989669E-4</v>
      </c>
      <c r="S3">
        <f t="shared" si="0"/>
        <v>1.9077988733422185E-3</v>
      </c>
      <c r="T3">
        <f t="shared" ref="T3:T66" si="1">J3-S3</f>
        <v>-5.1381912736841472E-2</v>
      </c>
    </row>
    <row r="4" spans="1:20" x14ac:dyDescent="0.2">
      <c r="A4" s="1" t="s">
        <v>8</v>
      </c>
      <c r="B4" s="3">
        <v>0.04</v>
      </c>
      <c r="C4" s="1" t="s">
        <v>0</v>
      </c>
      <c r="D4" s="2">
        <f>opdelta(B3,B4,B5,B6,B7,B8,B9)</f>
        <v>0.70299238773480954</v>
      </c>
      <c r="F4" t="s">
        <v>17</v>
      </c>
      <c r="G4">
        <v>150</v>
      </c>
      <c r="I4">
        <v>101</v>
      </c>
      <c r="J4">
        <v>-6.6715815717926591E-2</v>
      </c>
      <c r="K4">
        <v>1.1800844468738774E-3</v>
      </c>
      <c r="S4">
        <f t="shared" si="0"/>
        <v>2.6002946538535581E-3</v>
      </c>
      <c r="T4">
        <f t="shared" si="1"/>
        <v>-6.9316110371780149E-2</v>
      </c>
    </row>
    <row r="5" spans="1:20" x14ac:dyDescent="0.2">
      <c r="A5" s="1" t="s">
        <v>9</v>
      </c>
      <c r="B5" s="3">
        <v>5.0000000000000001E-3</v>
      </c>
      <c r="C5" s="1" t="s">
        <v>1</v>
      </c>
      <c r="D5" s="2">
        <f>opgamma(B3,B4,B5,B6,B7,B8,B9)</f>
        <v>5.7298593214666689E-2</v>
      </c>
      <c r="F5" t="s">
        <v>21</v>
      </c>
      <c r="G5">
        <v>99</v>
      </c>
      <c r="I5">
        <v>101.5</v>
      </c>
      <c r="J5">
        <v>-8.8978729432643774E-2</v>
      </c>
      <c r="K5">
        <v>1.5540115992042889E-3</v>
      </c>
      <c r="S5">
        <f t="shared" si="0"/>
        <v>3.5073163610560712E-3</v>
      </c>
      <c r="T5">
        <f t="shared" si="1"/>
        <v>-9.2486045793699845E-2</v>
      </c>
    </row>
    <row r="6" spans="1:20" x14ac:dyDescent="0.2">
      <c r="A6" s="1" t="s">
        <v>10</v>
      </c>
      <c r="B6" s="3">
        <v>0.1</v>
      </c>
      <c r="C6" s="1" t="s">
        <v>2</v>
      </c>
      <c r="D6" s="9">
        <f>opvega(B3,B4,B5,B6,B7,B8,B9)</f>
        <v>0.20797034600216563</v>
      </c>
      <c r="I6">
        <v>102</v>
      </c>
      <c r="J6">
        <v>-0.11738756733498786</v>
      </c>
      <c r="K6">
        <v>2.0241237638309517E-3</v>
      </c>
      <c r="S6">
        <f t="shared" si="0"/>
        <v>4.6823981475911493E-3</v>
      </c>
      <c r="T6">
        <f t="shared" si="1"/>
        <v>-0.12206996548257901</v>
      </c>
    </row>
    <row r="7" spans="1:20" x14ac:dyDescent="0.2">
      <c r="A7" s="1" t="s">
        <v>11</v>
      </c>
      <c r="B7" s="1">
        <v>118</v>
      </c>
      <c r="C7" s="1" t="s">
        <v>3</v>
      </c>
      <c r="D7" s="2">
        <f>optheta(B3,B4,B5,B6,B7,B8,B9)</f>
        <v>-6.9105354460799768</v>
      </c>
      <c r="F7" s="7" t="s">
        <v>18</v>
      </c>
      <c r="I7">
        <v>102.5</v>
      </c>
      <c r="J7">
        <v>-0.1532171866058393</v>
      </c>
      <c r="K7">
        <v>2.6081249404931246E-3</v>
      </c>
      <c r="S7">
        <f t="shared" si="0"/>
        <v>6.1884337536749767E-3</v>
      </c>
      <c r="T7">
        <f t="shared" si="1"/>
        <v>-0.15940562035951428</v>
      </c>
    </row>
    <row r="8" spans="1:20" x14ac:dyDescent="0.2">
      <c r="A8" s="1" t="s">
        <v>12</v>
      </c>
      <c r="B8" s="4">
        <v>43508</v>
      </c>
      <c r="C8" s="1" t="s">
        <v>4</v>
      </c>
      <c r="D8" s="2">
        <f>opphi(B3,B4,B5,B6,B7,B8,B9)</f>
        <v>-0.21263112220800817</v>
      </c>
      <c r="F8" t="s">
        <v>22</v>
      </c>
      <c r="G8" t="s">
        <v>3</v>
      </c>
      <c r="I8">
        <v>103</v>
      </c>
      <c r="J8">
        <v>-0.19788481461813515</v>
      </c>
      <c r="K8">
        <v>3.3250176153152306E-3</v>
      </c>
      <c r="S8">
        <f t="shared" si="0"/>
        <v>8.0982202037122586E-3</v>
      </c>
      <c r="T8">
        <f t="shared" si="1"/>
        <v>-0.2059830348218474</v>
      </c>
    </row>
    <row r="9" spans="1:20" x14ac:dyDescent="0.2">
      <c r="A9" s="1" t="s">
        <v>13</v>
      </c>
      <c r="B9" s="4">
        <f>B8+92</f>
        <v>43600</v>
      </c>
      <c r="C9" s="1" t="s">
        <v>5</v>
      </c>
      <c r="D9" s="2">
        <f>oprho(B3,B4,B5,B6,B7,B8,B9)</f>
        <v>0.20207435574545701</v>
      </c>
      <c r="F9" t="s">
        <v>23</v>
      </c>
      <c r="G9" t="s">
        <v>1</v>
      </c>
      <c r="I9">
        <v>103.5</v>
      </c>
      <c r="J9">
        <v>-0.25293352252327711</v>
      </c>
      <c r="K9">
        <v>4.194674821052017E-3</v>
      </c>
      <c r="S9">
        <f t="shared" si="0"/>
        <v>1.0494741777247029E-2</v>
      </c>
      <c r="T9">
        <f t="shared" si="1"/>
        <v>-0.26342826430052413</v>
      </c>
    </row>
    <row r="10" spans="1:20" x14ac:dyDescent="0.2">
      <c r="A10" s="1" t="s">
        <v>14</v>
      </c>
      <c r="B10" s="1">
        <v>92</v>
      </c>
      <c r="C10" s="5"/>
      <c r="D10" s="5"/>
      <c r="I10">
        <v>104</v>
      </c>
      <c r="J10">
        <v>-0.32000580799169065</v>
      </c>
      <c r="K10">
        <v>5.2372689330080118E-3</v>
      </c>
      <c r="S10">
        <f t="shared" si="0"/>
        <v>1.3471121011061684E-2</v>
      </c>
      <c r="T10">
        <f t="shared" si="1"/>
        <v>-0.33347692900275233</v>
      </c>
    </row>
    <row r="11" spans="1:20" x14ac:dyDescent="0.2">
      <c r="I11">
        <v>104.5</v>
      </c>
      <c r="J11">
        <v>-0.4008065530660877</v>
      </c>
      <c r="K11">
        <v>6.4725589916634864E-3</v>
      </c>
      <c r="S11">
        <f t="shared" si="0"/>
        <v>1.7130167251964472E-2</v>
      </c>
      <c r="T11">
        <f>J11-S11</f>
        <v>-0.41793672031805218</v>
      </c>
    </row>
    <row r="12" spans="1:20" x14ac:dyDescent="0.2">
      <c r="A12" s="6"/>
      <c r="B12" s="1"/>
      <c r="C12" s="1"/>
      <c r="D12" s="2"/>
      <c r="I12">
        <v>105</v>
      </c>
      <c r="J12">
        <v>-0.49705516858710352</v>
      </c>
      <c r="K12">
        <v>7.9190482200876683E-3</v>
      </c>
      <c r="S12">
        <f t="shared" si="0"/>
        <v>2.1583462455614051E-2</v>
      </c>
      <c r="T12">
        <f t="shared" si="1"/>
        <v>-0.51863863104271757</v>
      </c>
    </row>
    <row r="13" spans="1:20" x14ac:dyDescent="0.2">
      <c r="A13" s="6"/>
      <c r="B13" s="1"/>
      <c r="C13" s="1"/>
      <c r="D13" s="2"/>
      <c r="I13">
        <v>105.5</v>
      </c>
      <c r="J13">
        <v>-0.6104274037374835</v>
      </c>
      <c r="K13">
        <v>9.5930342694081731E-3</v>
      </c>
      <c r="S13">
        <f t="shared" si="0"/>
        <v>2.6949938812474018E-2</v>
      </c>
      <c r="T13">
        <f t="shared" si="1"/>
        <v>-0.63737734254995748</v>
      </c>
    </row>
    <row r="14" spans="1:20" x14ac:dyDescent="0.2">
      <c r="A14" s="1"/>
      <c r="B14" s="3"/>
      <c r="C14" s="1"/>
      <c r="D14" s="2"/>
      <c r="F14" t="s">
        <v>19</v>
      </c>
      <c r="G14" s="1" t="s">
        <v>0</v>
      </c>
      <c r="I14">
        <v>106</v>
      </c>
      <c r="J14">
        <v>-0.74248805428816766</v>
      </c>
      <c r="K14">
        <v>1.1507585832371459E-2</v>
      </c>
      <c r="S14">
        <f t="shared" si="0"/>
        <v>3.3353923240410831E-2</v>
      </c>
      <c r="T14">
        <f t="shared" si="1"/>
        <v>-0.77584197752857853</v>
      </c>
    </row>
    <row r="15" spans="1:20" x14ac:dyDescent="0.2">
      <c r="A15" s="1"/>
      <c r="B15" s="3"/>
      <c r="C15" s="1"/>
      <c r="D15" s="2"/>
      <c r="G15" s="1" t="s">
        <v>1</v>
      </c>
      <c r="I15">
        <v>106.5</v>
      </c>
      <c r="J15">
        <v>-0.89461659867715893</v>
      </c>
      <c r="K15">
        <v>1.3671489723922934E-2</v>
      </c>
      <c r="S15">
        <f t="shared" si="0"/>
        <v>4.0922649191328257E-2</v>
      </c>
      <c r="T15">
        <f t="shared" si="1"/>
        <v>-0.93553924786848719</v>
      </c>
    </row>
    <row r="16" spans="1:20" x14ac:dyDescent="0.2">
      <c r="A16" s="1"/>
      <c r="B16" s="1"/>
      <c r="C16" s="1"/>
      <c r="D16" s="2"/>
      <c r="G16" s="1" t="s">
        <v>2</v>
      </c>
      <c r="I16">
        <v>107</v>
      </c>
      <c r="J16">
        <v>-1.0679285684994517</v>
      </c>
      <c r="K16">
        <v>1.6088221375549532E-2</v>
      </c>
      <c r="S16">
        <f t="shared" si="0"/>
        <v>4.9783265451480353E-2</v>
      </c>
      <c r="T16">
        <f t="shared" si="1"/>
        <v>-1.117711833950932</v>
      </c>
    </row>
    <row r="17" spans="1:20" x14ac:dyDescent="0.2">
      <c r="A17" s="1"/>
      <c r="B17" s="4"/>
      <c r="C17" s="1"/>
      <c r="D17" s="2"/>
      <c r="G17" s="1" t="s">
        <v>3</v>
      </c>
      <c r="I17">
        <v>107.5</v>
      </c>
      <c r="J17">
        <v>-1.2631961537786234</v>
      </c>
      <c r="K17">
        <v>1.8754997976348383E-2</v>
      </c>
      <c r="S17">
        <f t="shared" si="0"/>
        <v>6.0059403083939138E-2</v>
      </c>
      <c r="T17">
        <f t="shared" si="1"/>
        <v>-1.3232555568625626</v>
      </c>
    </row>
    <row r="18" spans="1:20" x14ac:dyDescent="0.2">
      <c r="A18" s="1"/>
      <c r="B18" s="4"/>
      <c r="C18" s="1"/>
      <c r="D18" s="2"/>
      <c r="G18" s="1" t="s">
        <v>4</v>
      </c>
      <c r="I18">
        <v>108</v>
      </c>
      <c r="J18">
        <v>-1.4807720865566703</v>
      </c>
      <c r="K18">
        <v>2.1661976376319385E-2</v>
      </c>
      <c r="S18">
        <f t="shared" si="0"/>
        <v>7.1867393399590127E-2</v>
      </c>
      <c r="T18">
        <f t="shared" si="1"/>
        <v>-1.5526394799562604</v>
      </c>
    </row>
    <row r="19" spans="1:20" x14ac:dyDescent="0.2">
      <c r="A19" s="1"/>
      <c r="B19" s="1"/>
      <c r="C19" s="5"/>
      <c r="D19" s="5"/>
      <c r="G19" s="1" t="s">
        <v>5</v>
      </c>
      <c r="I19">
        <v>108.5</v>
      </c>
      <c r="J19">
        <v>-1.720521176831284</v>
      </c>
      <c r="K19">
        <v>2.4791656707410004E-2</v>
      </c>
      <c r="S19">
        <f t="shared" si="0"/>
        <v>8.5312259636438362E-2</v>
      </c>
      <c r="T19">
        <f t="shared" si="1"/>
        <v>-1.8058334364677224</v>
      </c>
    </row>
    <row r="20" spans="1:20" x14ac:dyDescent="0.2">
      <c r="I20">
        <v>109</v>
      </c>
      <c r="J20">
        <v>-1.9817639420871602</v>
      </c>
      <c r="K20">
        <v>2.8118547122910953E-2</v>
      </c>
      <c r="S20">
        <f t="shared" si="0"/>
        <v>0.10048363058624639</v>
      </c>
      <c r="T20">
        <f t="shared" si="1"/>
        <v>-2.0822475726734067</v>
      </c>
    </row>
    <row r="21" spans="1:20" x14ac:dyDescent="0.2">
      <c r="I21">
        <v>109.5</v>
      </c>
      <c r="J21">
        <v>-2.2632365424301573</v>
      </c>
      <c r="K21">
        <v>3.1609135100584843E-2</v>
      </c>
      <c r="S21">
        <f t="shared" si="0"/>
        <v>0.11745174355526827</v>
      </c>
      <c r="T21">
        <f t="shared" si="1"/>
        <v>-2.3806882859854257</v>
      </c>
    </row>
    <row r="22" spans="1:20" x14ac:dyDescent="0.2">
      <c r="I22">
        <v>110</v>
      </c>
      <c r="J22">
        <v>-2.5630706966021926</v>
      </c>
      <c r="K22">
        <v>3.5222196771109347E-2</v>
      </c>
      <c r="S22">
        <f t="shared" si="0"/>
        <v>0.136263714918712</v>
      </c>
      <c r="T22">
        <f t="shared" si="1"/>
        <v>-2.6993344115209044</v>
      </c>
    </row>
    <row r="23" spans="1:20" x14ac:dyDescent="0.2">
      <c r="I23">
        <v>110.5</v>
      </c>
      <c r="J23">
        <v>-2.8787964238788142</v>
      </c>
      <c r="K23">
        <v>3.8909458463321757E-2</v>
      </c>
      <c r="S23">
        <f t="shared" si="0"/>
        <v>0.15694025774957454</v>
      </c>
      <c r="T23">
        <f t="shared" si="1"/>
        <v>-3.0357366816283888</v>
      </c>
    </row>
    <row r="24" spans="1:20" x14ac:dyDescent="0.2">
      <c r="I24">
        <v>111</v>
      </c>
      <c r="J24">
        <v>-3.207369372493361</v>
      </c>
      <c r="K24">
        <v>4.2616605169934027E-2</v>
      </c>
      <c r="S24">
        <f t="shared" si="0"/>
        <v>0.17947301683597466</v>
      </c>
      <c r="T24">
        <f t="shared" si="1"/>
        <v>-3.3868423893293356</v>
      </c>
    </row>
    <row r="25" spans="1:20" x14ac:dyDescent="0.2">
      <c r="I25">
        <v>111.5</v>
      </c>
      <c r="J25">
        <v>-3.5452232197919145</v>
      </c>
      <c r="K25">
        <v>4.6284610247433709E-2</v>
      </c>
      <c r="S25">
        <f t="shared" si="0"/>
        <v>0.20382267184117975</v>
      </c>
      <c r="T25">
        <f t="shared" si="1"/>
        <v>-3.7490458916330942</v>
      </c>
    </row>
    <row r="26" spans="1:20" x14ac:dyDescent="0.2">
      <c r="I26">
        <v>112</v>
      </c>
      <c r="J26">
        <v>-3.8883462449422272</v>
      </c>
      <c r="K26">
        <v>4.9851340827162416E-2</v>
      </c>
      <c r="S26">
        <f t="shared" si="0"/>
        <v>0.22991793016593207</v>
      </c>
      <c r="T26">
        <f t="shared" si="1"/>
        <v>-4.118264175108159</v>
      </c>
    </row>
    <row r="27" spans="1:20" x14ac:dyDescent="0.2">
      <c r="I27">
        <v>112.5</v>
      </c>
      <c r="J27">
        <v>-4.232379776527293</v>
      </c>
      <c r="K27">
        <v>5.3253375601451297E-2</v>
      </c>
      <c r="S27">
        <f t="shared" si="0"/>
        <v>0.25765549373674951</v>
      </c>
      <c r="T27">
        <f t="shared" si="1"/>
        <v>-4.4900352702640429</v>
      </c>
    </row>
    <row r="28" spans="1:20" x14ac:dyDescent="0.2">
      <c r="I28">
        <v>113</v>
      </c>
      <c r="J28">
        <v>-4.5727349043795922</v>
      </c>
      <c r="K28">
        <v>5.6427957215004834E-2</v>
      </c>
      <c r="S28">
        <f t="shared" si="0"/>
        <v>0.28690104058728366</v>
      </c>
      <c r="T28">
        <f t="shared" si="1"/>
        <v>-4.8596359449668762</v>
      </c>
    </row>
    <row r="29" spans="1:20" x14ac:dyDescent="0.2">
      <c r="I29">
        <v>113.5</v>
      </c>
      <c r="J29">
        <v>-4.9047227134297193</v>
      </c>
      <c r="K29">
        <v>5.9314991557547728E-2</v>
      </c>
      <c r="S29">
        <f t="shared" si="0"/>
        <v>0.31749121532090407</v>
      </c>
      <c r="T29">
        <f t="shared" si="1"/>
        <v>-5.2222139287506231</v>
      </c>
    </row>
    <row r="30" spans="1:20" x14ac:dyDescent="0.2">
      <c r="I30">
        <v>114</v>
      </c>
      <c r="J30">
        <v>-5.2236924309321253</v>
      </c>
      <c r="K30">
        <v>6.185900160339991E-2</v>
      </c>
      <c r="S30">
        <f t="shared" si="0"/>
        <v>0.34923657521502877</v>
      </c>
      <c r="T30">
        <f t="shared" si="1"/>
        <v>-5.5729290061471541</v>
      </c>
    </row>
    <row r="31" spans="1:20" x14ac:dyDescent="0.2">
      <c r="I31">
        <v>114.5</v>
      </c>
      <c r="J31">
        <v>-5.52517134158352</v>
      </c>
      <c r="K31">
        <v>6.401094445671919E-2</v>
      </c>
      <c r="S31">
        <f t="shared" si="0"/>
        <v>0.38192539377901003</v>
      </c>
      <c r="T31">
        <f t="shared" si="1"/>
        <v>-5.9070967353625301</v>
      </c>
    </row>
    <row r="32" spans="1:20" x14ac:dyDescent="0.2">
      <c r="I32">
        <v>115</v>
      </c>
      <c r="J32">
        <v>-5.8050001572674432</v>
      </c>
      <c r="K32">
        <v>6.572980688149116E-2</v>
      </c>
      <c r="S32">
        <f t="shared" si="0"/>
        <v>0.4153281837615404</v>
      </c>
      <c r="T32">
        <f t="shared" si="1"/>
        <v>-6.220328341028984</v>
      </c>
    </row>
    <row r="33" spans="9:20" x14ac:dyDescent="0.2">
      <c r="I33">
        <v>115.5</v>
      </c>
      <c r="J33">
        <v>-6.059457740861955</v>
      </c>
      <c r="K33">
        <v>6.6983906340342639E-2</v>
      </c>
      <c r="S33">
        <f t="shared" si="0"/>
        <v>0.44920276929833697</v>
      </c>
      <c r="T33">
        <f t="shared" si="1"/>
        <v>-6.5086605101602917</v>
      </c>
    </row>
    <row r="34" spans="9:20" x14ac:dyDescent="0.2">
      <c r="I34">
        <v>116</v>
      </c>
      <c r="J34">
        <v>-6.2853696594733739</v>
      </c>
      <c r="K34">
        <v>6.7751840574649905E-2</v>
      </c>
      <c r="S34">
        <f t="shared" ref="S34:S65" si="2">(fx_call(I34*1.01,$B$4,$B$5,$B$6,$B$7,$B$8,$B$9)-fx_call(I34,$B$4,$B$5,$B$6,$B$7,$B$8,$B$9))/0.01/I34</f>
        <v>0.48329971392174303</v>
      </c>
      <c r="T34">
        <f t="shared" si="1"/>
        <v>-6.7686693733951167</v>
      </c>
    </row>
    <row r="35" spans="9:20" x14ac:dyDescent="0.2">
      <c r="I35">
        <v>116.5</v>
      </c>
      <c r="J35">
        <v>-6.4801959376435212</v>
      </c>
      <c r="K35">
        <v>6.8023047870762743E-2</v>
      </c>
      <c r="S35">
        <f t="shared" si="2"/>
        <v>0.51736789867382604</v>
      </c>
      <c r="T35">
        <f t="shared" si="1"/>
        <v>-6.9975638363173474</v>
      </c>
    </row>
    <row r="36" spans="9:20" x14ac:dyDescent="0.2">
      <c r="I36">
        <v>117</v>
      </c>
      <c r="J36">
        <v>-6.6420945291494995</v>
      </c>
      <c r="K36">
        <v>6.7797961019961411E-2</v>
      </c>
      <c r="S36">
        <f t="shared" si="2"/>
        <v>0.55116004299756161</v>
      </c>
      <c r="T36">
        <f t="shared" si="1"/>
        <v>-7.1932545721470609</v>
      </c>
    </row>
    <row r="37" spans="9:20" x14ac:dyDescent="0.2">
      <c r="I37">
        <v>117.5</v>
      </c>
      <c r="J37">
        <v>-6.769958344297037</v>
      </c>
      <c r="K37">
        <v>6.7087759162183166E-2</v>
      </c>
      <c r="S37">
        <f t="shared" si="2"/>
        <v>0.58443797011430554</v>
      </c>
      <c r="T37">
        <f t="shared" si="1"/>
        <v>-7.3543963144113427</v>
      </c>
    </row>
    <row r="38" spans="9:20" x14ac:dyDescent="0.2">
      <c r="I38">
        <v>118</v>
      </c>
      <c r="J38">
        <v>-6.8634250663760401</v>
      </c>
      <c r="K38">
        <v>6.5913741815176646E-2</v>
      </c>
      <c r="S38">
        <f t="shared" si="2"/>
        <v>0.61697743724366572</v>
      </c>
      <c r="T38">
        <f t="shared" si="1"/>
        <v>-7.4804025036197057</v>
      </c>
    </row>
    <row r="39" spans="9:20" x14ac:dyDescent="0.2">
      <c r="I39">
        <v>118.5</v>
      </c>
      <c r="J39">
        <v>-6.9228603730908231</v>
      </c>
      <c r="K39">
        <v>6.4306367189110633E-2</v>
      </c>
      <c r="S39">
        <f t="shared" si="2"/>
        <v>0.64857237773514631</v>
      </c>
      <c r="T39">
        <f t="shared" si="1"/>
        <v>-7.5714327508259691</v>
      </c>
    </row>
    <row r="40" spans="9:20" x14ac:dyDescent="0.2">
      <c r="I40">
        <v>119</v>
      </c>
      <c r="J40">
        <v>-6.9493164591492427</v>
      </c>
      <c r="K40">
        <v>6.2304011365444667E-2</v>
      </c>
      <c r="S40">
        <f t="shared" si="2"/>
        <v>0.67903843498515482</v>
      </c>
      <c r="T40">
        <f t="shared" si="1"/>
        <v>-7.6283548941343975</v>
      </c>
    </row>
    <row r="41" spans="9:20" x14ac:dyDescent="0.2">
      <c r="I41">
        <v>119.5</v>
      </c>
      <c r="J41">
        <v>-6.9444688599740356</v>
      </c>
      <c r="K41">
        <v>5.9951515369872872E-2</v>
      </c>
      <c r="S41">
        <f t="shared" si="2"/>
        <v>0.70821570468240336</v>
      </c>
      <c r="T41">
        <f t="shared" si="1"/>
        <v>-7.6526845646564388</v>
      </c>
    </row>
    <row r="42" spans="9:20" x14ac:dyDescent="0.2">
      <c r="I42">
        <v>120</v>
      </c>
      <c r="J42">
        <v>-6.9105354460799768</v>
      </c>
      <c r="K42">
        <v>5.7298593214666689E-2</v>
      </c>
      <c r="S42">
        <f t="shared" si="2"/>
        <v>0.73597064015819968</v>
      </c>
      <c r="T42">
        <f t="shared" si="1"/>
        <v>-7.6465060862381762</v>
      </c>
    </row>
    <row r="43" spans="9:20" x14ac:dyDescent="0.2">
      <c r="I43">
        <v>120.5</v>
      </c>
      <c r="J43">
        <v>-6.8501820557323345</v>
      </c>
      <c r="K43">
        <v>5.4398175580787779E-2</v>
      </c>
      <c r="S43">
        <f t="shared" si="2"/>
        <v>0.76219711319190664</v>
      </c>
      <c r="T43">
        <f t="shared" si="1"/>
        <v>-7.6123791689242415</v>
      </c>
    </row>
    <row r="44" spans="9:20" x14ac:dyDescent="0.2">
      <c r="I44">
        <v>121</v>
      </c>
      <c r="J44">
        <v>-6.7664195442106676</v>
      </c>
      <c r="K44">
        <v>5.1304761217187224E-2</v>
      </c>
      <c r="S44">
        <f t="shared" si="2"/>
        <v>0.78681665755119035</v>
      </c>
      <c r="T44">
        <f t="shared" si="1"/>
        <v>-7.5532362017618579</v>
      </c>
    </row>
    <row r="45" spans="9:20" x14ac:dyDescent="0.2">
      <c r="I45">
        <v>121.5</v>
      </c>
      <c r="J45">
        <v>-6.6624970562557406</v>
      </c>
      <c r="K45">
        <v>4.8072841875765215E-2</v>
      </c>
      <c r="S45">
        <f t="shared" si="2"/>
        <v>0.80977795318212875</v>
      </c>
      <c r="T45">
        <f t="shared" si="1"/>
        <v>-7.4722750094378689</v>
      </c>
    </row>
    <row r="46" spans="9:20" x14ac:dyDescent="0.2">
      <c r="I46">
        <v>122</v>
      </c>
      <c r="J46">
        <v>-6.5417960974496907</v>
      </c>
      <c r="K46">
        <v>4.4755457393099357E-2</v>
      </c>
      <c r="S46">
        <f t="shared" si="2"/>
        <v>0.83105563407909799</v>
      </c>
      <c r="T46">
        <f t="shared" si="1"/>
        <v>-7.3728517315287885</v>
      </c>
    </row>
    <row r="47" spans="9:20" x14ac:dyDescent="0.2">
      <c r="I47">
        <v>122.5</v>
      </c>
      <c r="J47">
        <v>-6.4077295286682112</v>
      </c>
      <c r="K47">
        <v>4.1402926214581373E-2</v>
      </c>
      <c r="S47">
        <f t="shared" si="2"/>
        <v>0.85064852168437954</v>
      </c>
      <c r="T47">
        <f t="shared" si="1"/>
        <v>-7.258378050352591</v>
      </c>
    </row>
    <row r="48" spans="9:20" x14ac:dyDescent="0.2">
      <c r="I48">
        <v>123</v>
      </c>
      <c r="J48">
        <v>-6.2636489842291239</v>
      </c>
      <c r="K48">
        <v>3.8061784121789059E-2</v>
      </c>
      <c r="S48">
        <f t="shared" si="2"/>
        <v>0.86857739787762789</v>
      </c>
      <c r="T48">
        <f t="shared" si="1"/>
        <v>-7.1322263821067517</v>
      </c>
    </row>
    <row r="49" spans="9:20" x14ac:dyDescent="0.2">
      <c r="I49">
        <v>123.5</v>
      </c>
      <c r="J49">
        <v>-6.1127634737269867</v>
      </c>
      <c r="K49">
        <v>3.4773951037614208E-2</v>
      </c>
      <c r="S49">
        <f t="shared" si="2"/>
        <v>0.88488243731968741</v>
      </c>
      <c r="T49">
        <f t="shared" si="1"/>
        <v>-6.997645911046674</v>
      </c>
    </row>
    <row r="50" spans="9:20" x14ac:dyDescent="0.2">
      <c r="I50">
        <v>124</v>
      </c>
      <c r="J50">
        <v>-5.9580711258882841</v>
      </c>
      <c r="K50">
        <v>3.157613333363677E-2</v>
      </c>
      <c r="S50">
        <f t="shared" si="2"/>
        <v>0.89962041858416364</v>
      </c>
      <c r="T50">
        <f t="shared" si="1"/>
        <v>-6.8576915444724476</v>
      </c>
    </row>
    <row r="51" spans="9:20" x14ac:dyDescent="0.2">
      <c r="I51">
        <v>124.5</v>
      </c>
      <c r="J51">
        <v>-5.8023052234083607</v>
      </c>
      <c r="K51">
        <v>2.8499457712839477E-2</v>
      </c>
      <c r="S51">
        <f t="shared" si="2"/>
        <v>0.91286182790244341</v>
      </c>
      <c r="T51">
        <f t="shared" si="1"/>
        <v>-6.7151670513108037</v>
      </c>
    </row>
    <row r="52" spans="9:20" x14ac:dyDescent="0.2">
      <c r="I52">
        <v>125</v>
      </c>
      <c r="J52">
        <v>-5.6478949077702838</v>
      </c>
      <c r="K52">
        <v>2.5569322995164269E-2</v>
      </c>
      <c r="S52">
        <f t="shared" si="2"/>
        <v>0.92468795942106252</v>
      </c>
      <c r="T52">
        <f t="shared" si="1"/>
        <v>-6.572582867191346</v>
      </c>
    </row>
    <row r="53" spans="9:20" x14ac:dyDescent="0.2">
      <c r="I53">
        <v>125.5</v>
      </c>
      <c r="J53">
        <v>-5.4969402410127577</v>
      </c>
      <c r="K53">
        <v>2.280544833185234E-2</v>
      </c>
      <c r="S53">
        <f t="shared" si="2"/>
        <v>0.93518810269737818</v>
      </c>
      <c r="T53">
        <f t="shared" si="1"/>
        <v>-6.4321283437101355</v>
      </c>
    </row>
    <row r="54" spans="9:20" x14ac:dyDescent="0.2">
      <c r="I54">
        <v>126</v>
      </c>
      <c r="J54">
        <v>-5.351200725745219</v>
      </c>
      <c r="K54">
        <v>2.0222090687010676E-2</v>
      </c>
      <c r="S54">
        <f t="shared" si="2"/>
        <v>0.94445689284326506</v>
      </c>
      <c r="T54">
        <f t="shared" si="1"/>
        <v>-6.2956576185884838</v>
      </c>
    </row>
    <row r="55" spans="9:20" x14ac:dyDescent="0.2">
      <c r="I55">
        <v>126.5</v>
      </c>
      <c r="J55">
        <v>-5.2120959232656245</v>
      </c>
      <c r="K55">
        <v>1.7828400866475774E-2</v>
      </c>
      <c r="S55">
        <f t="shared" si="2"/>
        <v>0.95259188232664715</v>
      </c>
      <c r="T55">
        <f t="shared" si="1"/>
        <v>-6.1646878055922718</v>
      </c>
    </row>
    <row r="56" spans="9:20" x14ac:dyDescent="0.2">
      <c r="I56">
        <v>127</v>
      </c>
      <c r="J56">
        <v>-5.0807164800635549</v>
      </c>
      <c r="K56">
        <v>1.5628885827430959E-2</v>
      </c>
      <c r="S56">
        <f t="shared" si="2"/>
        <v>0.95969137691822237</v>
      </c>
      <c r="T56">
        <f t="shared" si="1"/>
        <v>-6.0404078569817772</v>
      </c>
    </row>
    <row r="57" spans="9:20" x14ac:dyDescent="0.2">
      <c r="I57">
        <v>127.5</v>
      </c>
      <c r="J57">
        <v>-4.9578436737616345</v>
      </c>
      <c r="K57">
        <v>1.3623945246194159E-2</v>
      </c>
      <c r="S57">
        <f t="shared" si="2"/>
        <v>0.96585256244108475</v>
      </c>
      <c r="T57">
        <f t="shared" si="1"/>
        <v>-5.9236962362027192</v>
      </c>
    </row>
    <row r="58" spans="9:20" x14ac:dyDescent="0.2">
      <c r="I58">
        <v>128</v>
      </c>
      <c r="J58">
        <v>-4.8439755115118199</v>
      </c>
      <c r="K58">
        <v>1.1810452062564564E-2</v>
      </c>
      <c r="S58">
        <f t="shared" si="2"/>
        <v>0.97116993449573585</v>
      </c>
      <c r="T58">
        <f t="shared" si="1"/>
        <v>-5.8151454460075556</v>
      </c>
    </row>
    <row r="59" spans="9:20" x14ac:dyDescent="0.2">
      <c r="I59">
        <v>128.5</v>
      </c>
      <c r="J59">
        <v>-4.7393574420847928</v>
      </c>
      <c r="K59">
        <v>1.0182349622450012E-2</v>
      </c>
      <c r="S59">
        <f t="shared" si="2"/>
        <v>0.97573403065758046</v>
      </c>
      <c r="T59">
        <f t="shared" si="1"/>
        <v>-5.7150914727423734</v>
      </c>
    </row>
    <row r="60" spans="9:20" x14ac:dyDescent="0.2">
      <c r="I60">
        <v>129</v>
      </c>
      <c r="J60">
        <v>-4.6440158585927245</v>
      </c>
      <c r="K60">
        <v>8.7312417592694397E-3</v>
      </c>
      <c r="S60">
        <f t="shared" si="2"/>
        <v>0.97963045407740179</v>
      </c>
      <c r="T60">
        <f t="shared" si="1"/>
        <v>-5.6236463126701262</v>
      </c>
    </row>
    <row r="61" spans="9:20" x14ac:dyDescent="0.2">
      <c r="I61">
        <v>129.5</v>
      </c>
      <c r="J61">
        <v>-4.5577927512211902</v>
      </c>
      <c r="K61">
        <v>7.4469563541611017E-3</v>
      </c>
      <c r="S61">
        <f t="shared" si="2"/>
        <v>0.98293916908473089</v>
      </c>
      <c r="T61">
        <f t="shared" si="1"/>
        <v>-5.5407319203059213</v>
      </c>
    </row>
    <row r="62" spans="9:20" x14ac:dyDescent="0.2">
      <c r="I62">
        <v>130</v>
      </c>
      <c r="J62">
        <v>-4.4803800974794123</v>
      </c>
      <c r="K62">
        <v>6.3180672921163564E-3</v>
      </c>
      <c r="S62">
        <f t="shared" si="2"/>
        <v>0.98573404329434899</v>
      </c>
      <c r="T62">
        <f t="shared" si="1"/>
        <v>-5.4661141407737617</v>
      </c>
    </row>
    <row r="63" spans="9:20" x14ac:dyDescent="0.2">
      <c r="I63">
        <v>130.5</v>
      </c>
      <c r="J63">
        <v>-4.4113528313765986</v>
      </c>
      <c r="K63">
        <v>5.3323640274802265E-3</v>
      </c>
      <c r="S63">
        <f t="shared" si="2"/>
        <v>0.98808260672360371</v>
      </c>
      <c r="T63">
        <f t="shared" si="1"/>
        <v>-5.3994354381002019</v>
      </c>
    </row>
    <row r="64" spans="9:20" x14ac:dyDescent="0.2">
      <c r="I64">
        <v>131</v>
      </c>
      <c r="J64">
        <v>-4.3501994948221361</v>
      </c>
      <c r="K64">
        <v>4.4772619821717664E-3</v>
      </c>
      <c r="S64">
        <f t="shared" si="2"/>
        <v>0.99004599633593082</v>
      </c>
      <c r="T64">
        <f t="shared" si="1"/>
        <v>-5.3402454911580666</v>
      </c>
    </row>
    <row r="65" spans="9:20" x14ac:dyDescent="0.2">
      <c r="I65">
        <v>131.5</v>
      </c>
      <c r="J65">
        <v>-4.2963499295204226</v>
      </c>
      <c r="K65">
        <v>3.7401505731889549E-3</v>
      </c>
      <c r="S65">
        <f t="shared" si="2"/>
        <v>0.99167905396926859</v>
      </c>
      <c r="T65">
        <f t="shared" si="1"/>
        <v>-5.2880289834896912</v>
      </c>
    </row>
    <row r="66" spans="9:20" x14ac:dyDescent="0.2">
      <c r="I66">
        <v>132</v>
      </c>
      <c r="J66">
        <v>-4.2491996040173801</v>
      </c>
      <c r="K66">
        <v>3.1086787059308933E-3</v>
      </c>
      <c r="S66">
        <f t="shared" ref="S66:S102" si="3">(fx_call(I66*1.01,$B$4,$B$5,$B$6,$B$7,$B$8,$B$9)-fx_call(I66,$B$4,$B$5,$B$6,$B$7,$B$8,$B$9))/0.01/I66</f>
        <v>0.99303054649214528</v>
      </c>
      <c r="T66">
        <f t="shared" si="1"/>
        <v>-5.242230150509525</v>
      </c>
    </row>
    <row r="67" spans="9:20" x14ac:dyDescent="0.2">
      <c r="I67">
        <v>132.5</v>
      </c>
      <c r="J67">
        <v>-4.2081303800053078</v>
      </c>
      <c r="K67">
        <v>2.5709800289222518E-3</v>
      </c>
      <c r="S67">
        <f t="shared" si="3"/>
        <v>0.99414347895140143</v>
      </c>
      <c r="T67">
        <f t="shared" ref="T67:T102" si="4">J67-S67</f>
        <v>-5.2022738589567092</v>
      </c>
    </row>
    <row r="68" spans="9:20" x14ac:dyDescent="0.2">
      <c r="I68">
        <v>133</v>
      </c>
      <c r="J68">
        <v>-4.1725276993181639</v>
      </c>
      <c r="K68">
        <v>2.1158421177409487E-3</v>
      </c>
      <c r="S68">
        <f t="shared" si="3"/>
        <v>0.99505547414078666</v>
      </c>
      <c r="T68">
        <f t="shared" si="4"/>
        <v>-5.1675831734589508</v>
      </c>
    </row>
    <row r="69" spans="9:20" x14ac:dyDescent="0.2">
      <c r="I69">
        <v>133.5</v>
      </c>
      <c r="J69">
        <v>-4.1417943158910964</v>
      </c>
      <c r="K69">
        <v>1.7328250687962171E-3</v>
      </c>
      <c r="S69">
        <f t="shared" si="3"/>
        <v>0.99579919515964455</v>
      </c>
      <c r="T69">
        <f t="shared" si="4"/>
        <v>-5.1375935110507411</v>
      </c>
    </row>
    <row r="70" spans="9:20" x14ac:dyDescent="0.2">
      <c r="I70">
        <v>134</v>
      </c>
      <c r="J70">
        <v>-4.1153608053350048</v>
      </c>
      <c r="K70">
        <v>1.4123357891837349E-3</v>
      </c>
      <c r="S70">
        <f t="shared" si="3"/>
        <v>0.9964027909119344</v>
      </c>
      <c r="T70">
        <f t="shared" si="4"/>
        <v>-5.1117635962469397</v>
      </c>
    </row>
    <row r="71" spans="9:20" x14ac:dyDescent="0.2">
      <c r="I71">
        <v>134.5</v>
      </c>
      <c r="J71">
        <v>-4.092693160578583</v>
      </c>
      <c r="K71">
        <v>1.1456646354662233E-3</v>
      </c>
      <c r="S71">
        <f t="shared" si="3"/>
        <v>0.99689034791784092</v>
      </c>
      <c r="T71">
        <f t="shared" si="4"/>
        <v>-5.0895835084964238</v>
      </c>
    </row>
    <row r="72" spans="9:20" x14ac:dyDescent="0.2">
      <c r="I72">
        <v>135</v>
      </c>
      <c r="J72">
        <v>-4.0732978284981911</v>
      </c>
      <c r="K72">
        <v>9.2499105880458577E-4</v>
      </c>
      <c r="S72">
        <f t="shared" si="3"/>
        <v>0.99728233512339637</v>
      </c>
      <c r="T72">
        <f t="shared" si="4"/>
        <v>-5.070580163621587</v>
      </c>
    </row>
    <row r="73" spans="9:20" x14ac:dyDescent="0.2">
      <c r="I73">
        <v>135.5</v>
      </c>
      <c r="J73">
        <v>-4.0567245636954254</v>
      </c>
      <c r="K73">
        <v>7.4336463549480114E-4</v>
      </c>
      <c r="S73">
        <f t="shared" si="3"/>
        <v>0.99759603147619358</v>
      </c>
      <c r="T73">
        <f t="shared" si="4"/>
        <v>-5.0543205951716192</v>
      </c>
    </row>
    <row r="74" spans="9:20" x14ac:dyDescent="0.2">
      <c r="I74">
        <v>136</v>
      </c>
      <c r="J74">
        <v>-4.0425674761275339</v>
      </c>
      <c r="K74">
        <v>5.9466737683820875E-4</v>
      </c>
      <c r="S74">
        <f t="shared" si="3"/>
        <v>0.99784592881349254</v>
      </c>
      <c r="T74">
        <f t="shared" si="4"/>
        <v>-5.0404134049410265</v>
      </c>
    </row>
    <row r="75" spans="9:20" x14ac:dyDescent="0.2">
      <c r="I75">
        <v>136.5</v>
      </c>
      <c r="J75">
        <v>-4.0304646337502819</v>
      </c>
      <c r="K75">
        <v>4.7356258995872718E-4</v>
      </c>
      <c r="S75">
        <f t="shared" si="3"/>
        <v>0.998044105034258</v>
      </c>
      <c r="T75">
        <f t="shared" si="4"/>
        <v>-5.0285087387845397</v>
      </c>
    </row>
    <row r="76" spans="9:20" x14ac:dyDescent="0.2">
      <c r="I76">
        <v>137</v>
      </c>
      <c r="J76">
        <v>-4.020096554086825</v>
      </c>
      <c r="K76">
        <v>3.7543486220856589E-4</v>
      </c>
      <c r="S76">
        <f t="shared" si="3"/>
        <v>0.99820056457995521</v>
      </c>
      <c r="T76">
        <f t="shared" si="4"/>
        <v>-5.01829711866678</v>
      </c>
    </row>
    <row r="77" spans="9:20" x14ac:dyDescent="0.2">
      <c r="I77">
        <v>137.5</v>
      </c>
      <c r="J77">
        <v>-4.0111838836668996</v>
      </c>
      <c r="K77">
        <v>2.9632501638327094E-4</v>
      </c>
      <c r="S77">
        <f t="shared" si="3"/>
        <v>0.9983235449343949</v>
      </c>
      <c r="T77">
        <f t="shared" si="4"/>
        <v>-5.0095074286012942</v>
      </c>
    </row>
    <row r="78" spans="9:20" x14ac:dyDescent="0.2">
      <c r="I78">
        <v>138</v>
      </c>
      <c r="J78">
        <v>-4.0034845250244322</v>
      </c>
      <c r="K78">
        <v>2.3286317165412487E-4</v>
      </c>
      <c r="S78">
        <f t="shared" si="3"/>
        <v>0.99841978918723406</v>
      </c>
      <c r="T78">
        <f t="shared" si="4"/>
        <v>-5.0019043142116661</v>
      </c>
    </row>
    <row r="79" spans="9:20" x14ac:dyDescent="0.2">
      <c r="I79">
        <v>138.5</v>
      </c>
      <c r="J79">
        <v>-3.9967904302313153</v>
      </c>
      <c r="K79">
        <v>1.8220237522458476E-4</v>
      </c>
      <c r="S79">
        <f t="shared" si="3"/>
        <v>0.99849478572162598</v>
      </c>
      <c r="T79">
        <f t="shared" si="4"/>
        <v>-4.9952852159529417</v>
      </c>
    </row>
    <row r="80" spans="9:20" x14ac:dyDescent="0.2">
      <c r="I80">
        <v>139</v>
      </c>
      <c r="J80">
        <v>-3.9909242399992704</v>
      </c>
      <c r="K80">
        <v>1.4195466219868368E-4</v>
      </c>
      <c r="S80">
        <f t="shared" si="3"/>
        <v>0.99855297681911992</v>
      </c>
      <c r="T80">
        <f t="shared" si="4"/>
        <v>-4.9894772168183898</v>
      </c>
    </row>
    <row r="81" spans="9:20" x14ac:dyDescent="0.2">
      <c r="I81">
        <v>139.5</v>
      </c>
      <c r="J81">
        <v>-3.9857359098341689</v>
      </c>
      <c r="K81">
        <v>1.1013086789829076E-4</v>
      </c>
      <c r="S81">
        <f t="shared" si="3"/>
        <v>0.99859793846612765</v>
      </c>
      <c r="T81">
        <f t="shared" si="4"/>
        <v>-4.984333848300297</v>
      </c>
    </row>
    <row r="82" spans="9:20" x14ac:dyDescent="0.2">
      <c r="I82">
        <v>140</v>
      </c>
      <c r="J82">
        <v>-3.9810994306839409</v>
      </c>
      <c r="K82">
        <v>8.5085063091790516E-5</v>
      </c>
      <c r="S82">
        <f t="shared" si="3"/>
        <v>0.99863253393697293</v>
      </c>
      <c r="T82">
        <f t="shared" si="4"/>
        <v>-4.9797319646209139</v>
      </c>
    </row>
    <row r="83" spans="9:20" x14ac:dyDescent="0.2">
      <c r="I83">
        <v>140.5</v>
      </c>
      <c r="J83">
        <v>-3.9769097216342417</v>
      </c>
      <c r="K83">
        <v>6.5464108269125648E-5</v>
      </c>
      <c r="S83">
        <f t="shared" si="3"/>
        <v>0.99865904385767312</v>
      </c>
      <c r="T83">
        <f t="shared" si="4"/>
        <v>-4.9755687654919152</v>
      </c>
    </row>
    <row r="84" spans="9:20" x14ac:dyDescent="0.2">
      <c r="I84">
        <v>141</v>
      </c>
      <c r="J84">
        <v>-3.9730797467551051</v>
      </c>
      <c r="K84">
        <v>5.016252431603844E-5</v>
      </c>
      <c r="S84">
        <f t="shared" si="3"/>
        <v>0.9986792754591286</v>
      </c>
      <c r="T84">
        <f t="shared" si="4"/>
        <v>-4.9717590222142336</v>
      </c>
    </row>
    <row r="85" spans="9:20" x14ac:dyDescent="0.2">
      <c r="I85">
        <v>141.5</v>
      </c>
      <c r="J85">
        <v>-3.9695378871761671</v>
      </c>
      <c r="K85">
        <v>3.8282647160256987E-5</v>
      </c>
      <c r="S85">
        <f t="shared" si="3"/>
        <v>0.99869465364020193</v>
      </c>
      <c r="T85">
        <f t="shared" si="4"/>
        <v>-4.968232540816369</v>
      </c>
    </row>
    <row r="86" spans="9:20" x14ac:dyDescent="0.2">
      <c r="I86">
        <v>142</v>
      </c>
      <c r="J86">
        <v>-3.9662255826439177</v>
      </c>
      <c r="K86">
        <v>2.9099865050235332E-5</v>
      </c>
      <c r="S86">
        <f t="shared" si="3"/>
        <v>0.99870629630827423</v>
      </c>
      <c r="T86">
        <f t="shared" si="4"/>
        <v>-4.9649318789521919</v>
      </c>
    </row>
    <row r="87" spans="9:20" x14ac:dyDescent="0.2">
      <c r="I87">
        <v>142.5</v>
      </c>
      <c r="J87">
        <v>-3.963095243823652</v>
      </c>
      <c r="K87">
        <v>2.2032620214861824E-5</v>
      </c>
      <c r="S87">
        <f t="shared" si="3"/>
        <v>0.99871507626940159</v>
      </c>
      <c r="T87">
        <f t="shared" si="4"/>
        <v>-4.9618103200930532</v>
      </c>
    </row>
    <row r="88" spans="9:20" x14ac:dyDescent="0.2">
      <c r="I88">
        <v>143</v>
      </c>
      <c r="J88">
        <v>-3.9601084269971922</v>
      </c>
      <c r="K88">
        <v>1.6616782801783797E-5</v>
      </c>
      <c r="S88">
        <f t="shared" si="3"/>
        <v>0.99872167172246296</v>
      </c>
      <c r="T88">
        <f t="shared" si="4"/>
        <v>-4.9588300987196554</v>
      </c>
    </row>
    <row r="89" spans="9:20" x14ac:dyDescent="0.2">
      <c r="I89">
        <v>143.5</v>
      </c>
      <c r="J89">
        <v>-3.9572342560822449</v>
      </c>
      <c r="K89">
        <v>1.2483965676454153E-5</v>
      </c>
      <c r="S89">
        <f t="shared" si="3"/>
        <v>0.99872660718457562</v>
      </c>
      <c r="T89">
        <f t="shared" si="4"/>
        <v>-4.9559608632668208</v>
      </c>
    </row>
    <row r="90" spans="9:20" x14ac:dyDescent="0.2">
      <c r="I90">
        <v>144</v>
      </c>
      <c r="J90">
        <v>-3.9544480725652633</v>
      </c>
      <c r="K90">
        <v>9.3433360942867112E-6</v>
      </c>
      <c r="S90">
        <f t="shared" si="3"/>
        <v>0.99873028644967343</v>
      </c>
      <c r="T90">
        <f t="shared" si="4"/>
        <v>-4.9531783590149363</v>
      </c>
    </row>
    <row r="91" spans="9:20" x14ac:dyDescent="0.2">
      <c r="I91">
        <v>144.5</v>
      </c>
      <c r="J91">
        <v>-3.951730291525744</v>
      </c>
      <c r="K91">
        <v>6.966487573046358E-6</v>
      </c>
      <c r="S91">
        <f t="shared" si="3"/>
        <v>0.99873301896806033</v>
      </c>
      <c r="T91">
        <f t="shared" si="4"/>
        <v>-4.9504633104938041</v>
      </c>
    </row>
    <row r="92" spans="9:20" x14ac:dyDescent="0.2">
      <c r="I92">
        <v>145</v>
      </c>
      <c r="J92">
        <v>-3.9490654410062609</v>
      </c>
      <c r="K92">
        <v>5.1749566435962637E-6</v>
      </c>
      <c r="S92">
        <f t="shared" si="3"/>
        <v>0.99873504083371811</v>
      </c>
      <c r="T92">
        <f t="shared" si="4"/>
        <v>-4.9478004818399786</v>
      </c>
    </row>
    <row r="93" spans="9:20" x14ac:dyDescent="0.2">
      <c r="I93">
        <v>145.5</v>
      </c>
      <c r="J93">
        <v>-3.9464413621711536</v>
      </c>
      <c r="K93">
        <v>3.8299997141946585E-6</v>
      </c>
      <c r="S93">
        <f t="shared" si="3"/>
        <v>0.99873653138486818</v>
      </c>
      <c r="T93">
        <f t="shared" si="4"/>
        <v>-4.9451778935560213</v>
      </c>
    </row>
    <row r="94" spans="9:20" x14ac:dyDescent="0.2">
      <c r="I94">
        <v>146</v>
      </c>
      <c r="J94">
        <v>-3.9438485486756898</v>
      </c>
      <c r="K94">
        <v>2.8242811821257949E-6</v>
      </c>
      <c r="S94">
        <f t="shared" si="3"/>
        <v>0.99873762626056573</v>
      </c>
      <c r="T94">
        <f t="shared" si="4"/>
        <v>-4.9425861749362552</v>
      </c>
    </row>
    <row r="95" spans="9:20" x14ac:dyDescent="0.2">
      <c r="I95">
        <v>146.5</v>
      </c>
      <c r="J95">
        <v>-3.9412796051707155</v>
      </c>
      <c r="K95">
        <v>2.0751621783465088E-6</v>
      </c>
      <c r="S95">
        <f t="shared" si="3"/>
        <v>0.99873842761346721</v>
      </c>
      <c r="T95">
        <f t="shared" si="4"/>
        <v>-4.9400180327841827</v>
      </c>
    </row>
    <row r="96" spans="9:20" x14ac:dyDescent="0.2">
      <c r="I96">
        <v>147</v>
      </c>
      <c r="J96">
        <v>-3.9387288066825583</v>
      </c>
      <c r="K96">
        <v>1.5193177139888656E-6</v>
      </c>
      <c r="S96">
        <f t="shared" si="3"/>
        <v>0.99873901205543769</v>
      </c>
      <c r="T96">
        <f t="shared" si="4"/>
        <v>-4.9374678187379963</v>
      </c>
    </row>
    <row r="97" spans="9:20" x14ac:dyDescent="0.2">
      <c r="I97">
        <v>147.5</v>
      </c>
      <c r="J97">
        <v>-3.9361917425693402</v>
      </c>
      <c r="K97">
        <v>1.1084469378464584E-6</v>
      </c>
      <c r="S97">
        <f t="shared" si="3"/>
        <v>0.99873943680683752</v>
      </c>
      <c r="T97">
        <f t="shared" si="4"/>
        <v>-4.9349311793761776</v>
      </c>
    </row>
    <row r="98" spans="9:20" x14ac:dyDescent="0.2">
      <c r="I98">
        <v>148</v>
      </c>
      <c r="J98">
        <v>-3.9336650307401215</v>
      </c>
      <c r="K98">
        <v>8.0587566809236844E-7</v>
      </c>
      <c r="S98">
        <f t="shared" si="3"/>
        <v>0.99873974443150892</v>
      </c>
      <c r="T98">
        <f t="shared" si="4"/>
        <v>-4.93240477517163</v>
      </c>
    </row>
    <row r="99" spans="9:20" x14ac:dyDescent="0.2">
      <c r="I99">
        <v>148.5</v>
      </c>
      <c r="J99">
        <v>-3.9311460897449524</v>
      </c>
      <c r="K99">
        <v>5.8388170739598172E-7</v>
      </c>
      <c r="S99">
        <f t="shared" si="3"/>
        <v>0.99873996646435692</v>
      </c>
      <c r="T99">
        <f t="shared" si="4"/>
        <v>-4.929886056209309</v>
      </c>
    </row>
    <row r="100" spans="9:20" x14ac:dyDescent="0.2">
      <c r="I100">
        <v>149</v>
      </c>
      <c r="J100">
        <v>-3.928632958143595</v>
      </c>
      <c r="K100">
        <v>4.2160138943495886E-7</v>
      </c>
      <c r="S100">
        <f t="shared" si="3"/>
        <v>0.99874012617712304</v>
      </c>
      <c r="T100">
        <f t="shared" si="4"/>
        <v>-4.9273730843207177</v>
      </c>
    </row>
    <row r="101" spans="9:20" x14ac:dyDescent="0.2">
      <c r="I101">
        <v>149.5</v>
      </c>
      <c r="J101">
        <v>-3.9261241522029708</v>
      </c>
      <c r="K101">
        <v>3.0340027609640439E-7</v>
      </c>
      <c r="S101">
        <f t="shared" si="3"/>
        <v>0.998740240676944</v>
      </c>
      <c r="T101">
        <f t="shared" si="4"/>
        <v>-4.9248643928799147</v>
      </c>
    </row>
    <row r="102" spans="9:20" x14ac:dyDescent="0.2">
      <c r="I102">
        <v>150</v>
      </c>
      <c r="J102">
        <v>-3.9236185544406603</v>
      </c>
      <c r="K102">
        <v>2.1761203572441225E-7</v>
      </c>
      <c r="S102">
        <f t="shared" si="3"/>
        <v>0.99874032249118727</v>
      </c>
      <c r="T102">
        <f t="shared" si="4"/>
        <v>-4.9223588769318471</v>
      </c>
    </row>
  </sheetData>
  <dataValidations count="1">
    <dataValidation type="list" allowBlank="1" showInputMessage="1" showErrorMessage="1" sqref="G8:G9" xr:uid="{B69095ED-07D6-A14F-B0B8-5F4201D8028A}">
      <formula1>$G$14:$G$19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Button 10">
              <controlPr defaultSize="0" print="0" autoFill="0" autoPict="0" macro="[0]!Simulation">
                <anchor moveWithCells="1" sizeWithCells="1">
                  <from>
                    <xdr:col>5</xdr:col>
                    <xdr:colOff>165100</xdr:colOff>
                    <xdr:row>10</xdr:row>
                    <xdr:rowOff>12700</xdr:rowOff>
                  </from>
                  <to>
                    <xdr:col>6</xdr:col>
                    <xdr:colOff>635000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Draw">
                <anchor moveWithCells="1" sizeWithCells="1">
                  <from>
                    <xdr:col>5</xdr:col>
                    <xdr:colOff>152400</xdr:colOff>
                    <xdr:row>19</xdr:row>
                    <xdr:rowOff>114300</xdr:rowOff>
                  </from>
                  <to>
                    <xdr:col>6</xdr:col>
                    <xdr:colOff>660400</xdr:colOff>
                    <xdr:row>21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_xludf.clear">
                <anchor moveWithCells="1" sizeWithCells="1">
                  <from>
                    <xdr:col>5</xdr:col>
                    <xdr:colOff>177800</xdr:colOff>
                    <xdr:row>22</xdr:row>
                    <xdr:rowOff>25400</xdr:rowOff>
                  </from>
                  <to>
                    <xdr:col>6</xdr:col>
                    <xdr:colOff>685800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 julia</dc:creator>
  <cp:lastModifiedBy>sheng julia</cp:lastModifiedBy>
  <dcterms:created xsi:type="dcterms:W3CDTF">2019-02-12T17:02:31Z</dcterms:created>
  <dcterms:modified xsi:type="dcterms:W3CDTF">2019-02-13T22:05:57Z</dcterms:modified>
</cp:coreProperties>
</file>
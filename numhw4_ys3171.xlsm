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asyure/Desktop/"/>
    </mc:Choice>
  </mc:AlternateContent>
  <xr:revisionPtr revIDLastSave="0" documentId="13_ncr:1_{D0493F54-554D-7C46-9D59-950CF37293D1}" xr6:coauthVersionLast="43" xr6:coauthVersionMax="43" xr10:uidLastSave="{00000000-0000-0000-0000-000000000000}"/>
  <bookViews>
    <workbookView xWindow="780" yWindow="820" windowWidth="27640" windowHeight="15740" xr2:uid="{9F5997DD-944F-714B-BEC4-047853BFF8A7}"/>
  </bookViews>
  <sheets>
    <sheet name="with k " sheetId="1" r:id="rId1"/>
    <sheet name="Sheet2" sheetId="2" r:id="rId2"/>
    <sheet name="without k" sheetId="4" r:id="rId3"/>
    <sheet name="Sheet1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4" l="1"/>
  <c r="D13" i="4" l="1"/>
  <c r="D13" i="1"/>
  <c r="H1" i="5" l="1"/>
  <c r="F66" i="4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62" i="4"/>
  <c r="F63" i="4" s="1"/>
  <c r="F64" i="4" s="1"/>
  <c r="F65" i="4" s="1"/>
  <c r="H28" i="4"/>
  <c r="I28" i="4" s="1"/>
  <c r="I27" i="4" s="1"/>
  <c r="D24" i="4"/>
  <c r="D23" i="4"/>
  <c r="D21" i="4"/>
  <c r="D18" i="4"/>
  <c r="D19" i="4" s="1"/>
  <c r="D15" i="4"/>
  <c r="D17" i="4" s="1"/>
  <c r="D22" i="4" s="1"/>
  <c r="AB27" i="1"/>
  <c r="D28" i="4"/>
  <c r="H27" i="4" l="1"/>
  <c r="J28" i="4"/>
  <c r="J27" i="4" s="1"/>
  <c r="G26" i="4"/>
  <c r="G25" i="4" s="1"/>
  <c r="G24" i="4" s="1"/>
  <c r="G23" i="4" s="1"/>
  <c r="G22" i="4" s="1"/>
  <c r="G21" i="4" s="1"/>
  <c r="G20" i="4" s="1"/>
  <c r="G19" i="4" s="1"/>
  <c r="G18" i="4" s="1"/>
  <c r="G17" i="4" s="1"/>
  <c r="G16" i="4" s="1"/>
  <c r="G15" i="4" s="1"/>
  <c r="G14" i="4" s="1"/>
  <c r="G13" i="4" s="1"/>
  <c r="G12" i="4" s="1"/>
  <c r="G11" i="4" s="1"/>
  <c r="G10" i="4" s="1"/>
  <c r="G9" i="4" s="1"/>
  <c r="G8" i="4" s="1"/>
  <c r="G7" i="4" s="1"/>
  <c r="G6" i="4" s="1"/>
  <c r="G5" i="4" s="1"/>
  <c r="G4" i="4" s="1"/>
  <c r="G3" i="4" s="1"/>
  <c r="G55" i="4"/>
  <c r="G54" i="4" s="1"/>
  <c r="G53" i="4" s="1"/>
  <c r="G52" i="4" s="1"/>
  <c r="G51" i="4" s="1"/>
  <c r="G50" i="4" s="1"/>
  <c r="G49" i="4" s="1"/>
  <c r="G48" i="4" s="1"/>
  <c r="D20" i="4"/>
  <c r="E1" i="5" s="1"/>
  <c r="P18" i="5" s="1"/>
  <c r="H53" i="4"/>
  <c r="H54" i="4"/>
  <c r="H56" i="4"/>
  <c r="H52" i="4"/>
  <c r="H51" i="4"/>
  <c r="H50" i="4"/>
  <c r="H49" i="4"/>
  <c r="H55" i="4"/>
  <c r="I56" i="4"/>
  <c r="N16" i="5" l="1"/>
  <c r="C5" i="5"/>
  <c r="L14" i="5"/>
  <c r="B4" i="5"/>
  <c r="C3" i="5"/>
  <c r="D4" i="5" s="1"/>
  <c r="E5" i="5" s="1"/>
  <c r="F6" i="5" s="1"/>
  <c r="G7" i="5" s="1"/>
  <c r="H8" i="5" s="1"/>
  <c r="I9" i="5" s="1"/>
  <c r="J10" i="5" s="1"/>
  <c r="K11" i="5" s="1"/>
  <c r="L12" i="5" s="1"/>
  <c r="M13" i="5" s="1"/>
  <c r="N14" i="5" s="1"/>
  <c r="O15" i="5" s="1"/>
  <c r="P16" i="5" s="1"/>
  <c r="Q17" i="5" s="1"/>
  <c r="R18" i="5" s="1"/>
  <c r="S19" i="5" s="1"/>
  <c r="T20" i="5" s="1"/>
  <c r="E7" i="5"/>
  <c r="S21" i="5"/>
  <c r="B24" i="5"/>
  <c r="C25" i="5" s="1"/>
  <c r="D26" i="5" s="1"/>
  <c r="E27" i="5" s="1"/>
  <c r="F28" i="5" s="1"/>
  <c r="G29" i="5" s="1"/>
  <c r="H30" i="5" s="1"/>
  <c r="I31" i="5" s="1"/>
  <c r="J32" i="5" s="1"/>
  <c r="K33" i="5" s="1"/>
  <c r="L34" i="5" s="1"/>
  <c r="M35" i="5" s="1"/>
  <c r="N36" i="5" s="1"/>
  <c r="O37" i="5" s="1"/>
  <c r="P38" i="5" s="1"/>
  <c r="Q39" i="5" s="1"/>
  <c r="R40" i="5" s="1"/>
  <c r="S41" i="5" s="1"/>
  <c r="T42" i="5" s="1"/>
  <c r="D6" i="5"/>
  <c r="R20" i="5"/>
  <c r="O17" i="5"/>
  <c r="M15" i="5"/>
  <c r="J12" i="5"/>
  <c r="K13" i="5"/>
  <c r="Q19" i="5"/>
  <c r="H10" i="5"/>
  <c r="F8" i="5"/>
  <c r="B25" i="5"/>
  <c r="C26" i="5" s="1"/>
  <c r="D27" i="5" s="1"/>
  <c r="E28" i="5" s="1"/>
  <c r="F29" i="5" s="1"/>
  <c r="G30" i="5" s="1"/>
  <c r="H31" i="5" s="1"/>
  <c r="I32" i="5" s="1"/>
  <c r="J33" i="5" s="1"/>
  <c r="K34" i="5" s="1"/>
  <c r="L35" i="5" s="1"/>
  <c r="M36" i="5" s="1"/>
  <c r="N37" i="5" s="1"/>
  <c r="O38" i="5" s="1"/>
  <c r="P39" i="5" s="1"/>
  <c r="Q40" i="5" s="1"/>
  <c r="R41" i="5" s="1"/>
  <c r="S42" i="5" s="1"/>
  <c r="G9" i="5"/>
  <c r="I11" i="5"/>
  <c r="C24" i="5"/>
  <c r="D25" i="5" s="1"/>
  <c r="E26" i="5" s="1"/>
  <c r="F27" i="5" s="1"/>
  <c r="G28" i="5" s="1"/>
  <c r="H29" i="5" s="1"/>
  <c r="I30" i="5" s="1"/>
  <c r="J31" i="5" s="1"/>
  <c r="K32" i="5" s="1"/>
  <c r="L33" i="5" s="1"/>
  <c r="M34" i="5" s="1"/>
  <c r="N35" i="5" s="1"/>
  <c r="O36" i="5" s="1"/>
  <c r="P37" i="5" s="1"/>
  <c r="Q38" i="5" s="1"/>
  <c r="R39" i="5" s="1"/>
  <c r="S40" i="5" s="1"/>
  <c r="T41" i="5" s="1"/>
  <c r="B3" i="5"/>
  <c r="C4" i="5" s="1"/>
  <c r="D5" i="5" s="1"/>
  <c r="E6" i="5" s="1"/>
  <c r="F7" i="5" s="1"/>
  <c r="G8" i="5" s="1"/>
  <c r="H9" i="5" s="1"/>
  <c r="I10" i="5" s="1"/>
  <c r="J11" i="5" s="1"/>
  <c r="K12" i="5" s="1"/>
  <c r="L13" i="5" s="1"/>
  <c r="M14" i="5" s="1"/>
  <c r="N15" i="5" s="1"/>
  <c r="O16" i="5" s="1"/>
  <c r="P17" i="5" s="1"/>
  <c r="Q18" i="5" s="1"/>
  <c r="R19" i="5" s="1"/>
  <c r="S20" i="5" s="1"/>
  <c r="T21" i="5" s="1"/>
  <c r="G47" i="4"/>
  <c r="H48" i="4"/>
  <c r="J56" i="4"/>
  <c r="K28" i="4"/>
  <c r="K27" i="4" s="1"/>
  <c r="F100" i="1"/>
  <c r="F101" i="1"/>
  <c r="F102" i="1"/>
  <c r="F103" i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73" i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63" i="1"/>
  <c r="F64" i="1"/>
  <c r="F65" i="1" s="1"/>
  <c r="F66" i="1" s="1"/>
  <c r="F67" i="1" s="1"/>
  <c r="F68" i="1" s="1"/>
  <c r="F69" i="1" s="1"/>
  <c r="F70" i="1" s="1"/>
  <c r="F71" i="1" s="1"/>
  <c r="F72" i="1" s="1"/>
  <c r="F62" i="1"/>
  <c r="B44" i="5" l="1" a="1"/>
  <c r="Q62" i="5" s="1"/>
  <c r="B90" i="5" a="1"/>
  <c r="T108" i="5" s="1"/>
  <c r="L28" i="4"/>
  <c r="L27" i="4" s="1"/>
  <c r="G46" i="4"/>
  <c r="H47" i="4"/>
  <c r="H32" i="1"/>
  <c r="AB32" i="1"/>
  <c r="H33" i="1"/>
  <c r="AB33" i="1"/>
  <c r="H34" i="1"/>
  <c r="AB34" i="1"/>
  <c r="H35" i="1"/>
  <c r="AB35" i="1"/>
  <c r="H36" i="1"/>
  <c r="AB36" i="1"/>
  <c r="H37" i="1"/>
  <c r="AB37" i="1"/>
  <c r="H38" i="1"/>
  <c r="AB38" i="1"/>
  <c r="H39" i="1"/>
  <c r="AB39" i="1"/>
  <c r="H40" i="1"/>
  <c r="AB40" i="1"/>
  <c r="H41" i="1"/>
  <c r="AB41" i="1"/>
  <c r="H42" i="1"/>
  <c r="AB42" i="1"/>
  <c r="H43" i="1"/>
  <c r="AB43" i="1"/>
  <c r="H44" i="1"/>
  <c r="AB44" i="1"/>
  <c r="H45" i="1"/>
  <c r="AB45" i="1"/>
  <c r="H46" i="1"/>
  <c r="AB46" i="1"/>
  <c r="H47" i="1"/>
  <c r="AB47" i="1"/>
  <c r="H48" i="1"/>
  <c r="AB48" i="1"/>
  <c r="H49" i="1"/>
  <c r="AB49" i="1"/>
  <c r="H50" i="1"/>
  <c r="AB50" i="1"/>
  <c r="H51" i="1"/>
  <c r="AB51" i="1"/>
  <c r="H52" i="1"/>
  <c r="AB52" i="1"/>
  <c r="H53" i="1"/>
  <c r="AB53" i="1"/>
  <c r="H54" i="1"/>
  <c r="AB54" i="1"/>
  <c r="H55" i="1"/>
  <c r="AB55" i="1"/>
  <c r="Y56" i="1"/>
  <c r="Z56" i="1"/>
  <c r="AA56" i="1"/>
  <c r="AB56" i="1"/>
  <c r="Q56" i="1"/>
  <c r="I56" i="1"/>
  <c r="J56" i="1"/>
  <c r="K56" i="1"/>
  <c r="L56" i="1"/>
  <c r="M56" i="1"/>
  <c r="N56" i="1"/>
  <c r="O56" i="1"/>
  <c r="P56" i="1"/>
  <c r="R56" i="1"/>
  <c r="S56" i="1"/>
  <c r="T56" i="1"/>
  <c r="U56" i="1"/>
  <c r="V56" i="1"/>
  <c r="W56" i="1"/>
  <c r="X56" i="1"/>
  <c r="D24" i="1"/>
  <c r="H56" i="1"/>
  <c r="D28" i="1"/>
  <c r="E95" i="5" l="1"/>
  <c r="N93" i="5"/>
  <c r="C93" i="5"/>
  <c r="L91" i="5"/>
  <c r="H90" i="5"/>
  <c r="P98" i="5"/>
  <c r="H91" i="5"/>
  <c r="I107" i="5"/>
  <c r="R99" i="5"/>
  <c r="I93" i="5"/>
  <c r="P108" i="5"/>
  <c r="N92" i="5"/>
  <c r="O98" i="5"/>
  <c r="G97" i="5"/>
  <c r="P95" i="5"/>
  <c r="B92" i="5"/>
  <c r="R100" i="5"/>
  <c r="T95" i="5"/>
  <c r="C92" i="5"/>
  <c r="I102" i="5"/>
  <c r="P96" i="5"/>
  <c r="K52" i="5"/>
  <c r="K93" i="5"/>
  <c r="S102" i="5"/>
  <c r="K101" i="5"/>
  <c r="Q100" i="5"/>
  <c r="D94" i="5"/>
  <c r="T102" i="5"/>
  <c r="B101" i="5"/>
  <c r="T93" i="5"/>
  <c r="H105" i="5"/>
  <c r="E101" i="5"/>
  <c r="N44" i="5"/>
  <c r="H94" i="5"/>
  <c r="G90" i="5"/>
  <c r="L107" i="5"/>
  <c r="L106" i="5"/>
  <c r="B105" i="5"/>
  <c r="F96" i="5"/>
  <c r="H106" i="5"/>
  <c r="Q104" i="5"/>
  <c r="K96" i="5"/>
  <c r="O108" i="5"/>
  <c r="L104" i="5"/>
  <c r="P54" i="5"/>
  <c r="O59" i="5"/>
  <c r="P44" i="5"/>
  <c r="B62" i="5"/>
  <c r="D51" i="5"/>
  <c r="O97" i="5"/>
  <c r="I99" i="5"/>
  <c r="O90" i="5"/>
  <c r="L99" i="5"/>
  <c r="J90" i="5"/>
  <c r="D98" i="5"/>
  <c r="E108" i="5"/>
  <c r="J97" i="5"/>
  <c r="R105" i="5"/>
  <c r="J92" i="5"/>
  <c r="C97" i="5"/>
  <c r="G101" i="5"/>
  <c r="S106" i="5"/>
  <c r="N97" i="5"/>
  <c r="C106" i="5"/>
  <c r="G92" i="5"/>
  <c r="L97" i="5"/>
  <c r="F103" i="5"/>
  <c r="G91" i="5"/>
  <c r="F98" i="5"/>
  <c r="Q105" i="5"/>
  <c r="S52" i="5"/>
  <c r="M59" i="5"/>
  <c r="G45" i="5"/>
  <c r="C57" i="5"/>
  <c r="I53" i="5"/>
  <c r="R62" i="5"/>
  <c r="T60" i="5"/>
  <c r="C101" i="5"/>
  <c r="G105" i="5"/>
  <c r="P102" i="5"/>
  <c r="F100" i="5"/>
  <c r="T91" i="5"/>
  <c r="E96" i="5"/>
  <c r="I100" i="5"/>
  <c r="J105" i="5"/>
  <c r="R90" i="5"/>
  <c r="P94" i="5"/>
  <c r="Q99" i="5"/>
  <c r="B104" i="5"/>
  <c r="C90" i="5"/>
  <c r="C94" i="5"/>
  <c r="G98" i="5"/>
  <c r="K102" i="5"/>
  <c r="I108" i="5"/>
  <c r="T90" i="5"/>
  <c r="R92" i="5"/>
  <c r="I95" i="5"/>
  <c r="K97" i="5"/>
  <c r="M99" i="5"/>
  <c r="D102" i="5"/>
  <c r="F104" i="5"/>
  <c r="E90" i="5"/>
  <c r="G94" i="5"/>
  <c r="C98" i="5"/>
  <c r="O102" i="5"/>
  <c r="Q108" i="5"/>
  <c r="J108" i="5"/>
  <c r="S92" i="5"/>
  <c r="J95" i="5"/>
  <c r="P97" i="5"/>
  <c r="S100" i="5"/>
  <c r="G104" i="5"/>
  <c r="Q106" i="5"/>
  <c r="D92" i="5"/>
  <c r="K95" i="5"/>
  <c r="N98" i="5"/>
  <c r="N102" i="5"/>
  <c r="C107" i="5"/>
  <c r="M46" i="5"/>
  <c r="J55" i="5"/>
  <c r="I51" i="5"/>
  <c r="R61" i="5"/>
  <c r="Q54" i="5"/>
  <c r="S49" i="5"/>
  <c r="H59" i="5"/>
  <c r="T48" i="5"/>
  <c r="P56" i="5"/>
  <c r="H47" i="5"/>
  <c r="H55" i="5"/>
  <c r="Q58" i="5"/>
  <c r="E50" i="5"/>
  <c r="O53" i="5"/>
  <c r="L52" i="5"/>
  <c r="Q59" i="5"/>
  <c r="L98" i="5"/>
  <c r="R96" i="5"/>
  <c r="H95" i="5"/>
  <c r="P103" i="5"/>
  <c r="S93" i="5"/>
  <c r="E103" i="5"/>
  <c r="I92" i="5"/>
  <c r="N101" i="5"/>
  <c r="P90" i="5"/>
  <c r="L94" i="5"/>
  <c r="E99" i="5"/>
  <c r="Q103" i="5"/>
  <c r="M92" i="5"/>
  <c r="J101" i="5"/>
  <c r="F108" i="5"/>
  <c r="M94" i="5"/>
  <c r="C100" i="5"/>
  <c r="M106" i="5"/>
  <c r="F94" i="5"/>
  <c r="M101" i="5"/>
  <c r="E46" i="5"/>
  <c r="E47" i="5"/>
  <c r="J51" i="5"/>
  <c r="T44" i="5"/>
  <c r="P51" i="5"/>
  <c r="Q91" i="5"/>
  <c r="F90" i="5"/>
  <c r="D106" i="5"/>
  <c r="H107" i="5"/>
  <c r="Q92" i="5"/>
  <c r="B97" i="5"/>
  <c r="C102" i="5"/>
  <c r="G106" i="5"/>
  <c r="I91" i="5"/>
  <c r="J96" i="5"/>
  <c r="N100" i="5"/>
  <c r="R104" i="5"/>
  <c r="S90" i="5"/>
  <c r="S94" i="5"/>
  <c r="D99" i="5"/>
  <c r="E104" i="5"/>
  <c r="D90" i="5"/>
  <c r="E91" i="5"/>
  <c r="O93" i="5"/>
  <c r="Q95" i="5"/>
  <c r="S97" i="5"/>
  <c r="J100" i="5"/>
  <c r="L102" i="5"/>
  <c r="N104" i="5"/>
  <c r="B91" i="5"/>
  <c r="O94" i="5"/>
  <c r="H99" i="5"/>
  <c r="I104" i="5"/>
  <c r="P106" i="5"/>
  <c r="F91" i="5"/>
  <c r="P93" i="5"/>
  <c r="N95" i="5"/>
  <c r="M98" i="5"/>
  <c r="T101" i="5"/>
  <c r="K104" i="5"/>
  <c r="N107" i="5"/>
  <c r="E93" i="5"/>
  <c r="O95" i="5"/>
  <c r="S99" i="5"/>
  <c r="H104" i="5"/>
  <c r="O107" i="5"/>
  <c r="D49" i="5"/>
  <c r="L60" i="5"/>
  <c r="Q51" i="5"/>
  <c r="I46" i="5"/>
  <c r="L58" i="5"/>
  <c r="H50" i="5"/>
  <c r="I61" i="5"/>
  <c r="E49" i="5"/>
  <c r="F57" i="5"/>
  <c r="P47" i="5"/>
  <c r="P55" i="5"/>
  <c r="B59" i="5"/>
  <c r="N46" i="5"/>
  <c r="N50" i="5"/>
  <c r="R54" i="5"/>
  <c r="S58" i="5"/>
  <c r="F45" i="5"/>
  <c r="J49" i="5"/>
  <c r="F53" i="5"/>
  <c r="M57" i="5"/>
  <c r="N62" i="5"/>
  <c r="O60" i="5"/>
  <c r="C91" i="5"/>
  <c r="J104" i="5"/>
  <c r="S101" i="5"/>
  <c r="B96" i="5"/>
  <c r="N90" i="5"/>
  <c r="M103" i="5"/>
  <c r="D91" i="5"/>
  <c r="K94" i="5"/>
  <c r="R97" i="5"/>
  <c r="F101" i="5"/>
  <c r="M104" i="5"/>
  <c r="B90" i="5"/>
  <c r="F92" i="5"/>
  <c r="M95" i="5"/>
  <c r="T98" i="5"/>
  <c r="H102" i="5"/>
  <c r="O105" i="5"/>
  <c r="K90" i="5"/>
  <c r="F93" i="5"/>
  <c r="M96" i="5"/>
  <c r="T99" i="5"/>
  <c r="H103" i="5"/>
  <c r="O106" i="5"/>
  <c r="L90" i="5"/>
  <c r="M91" i="5"/>
  <c r="G93" i="5"/>
  <c r="T94" i="5"/>
  <c r="N96" i="5"/>
  <c r="H98" i="5"/>
  <c r="B100" i="5"/>
  <c r="O101" i="5"/>
  <c r="I103" i="5"/>
  <c r="C105" i="5"/>
  <c r="I90" i="5"/>
  <c r="B93" i="5"/>
  <c r="I96" i="5"/>
  <c r="P99" i="5"/>
  <c r="D103" i="5"/>
  <c r="K106" i="5"/>
  <c r="M107" i="5"/>
  <c r="J91" i="5"/>
  <c r="D93" i="5"/>
  <c r="Q94" i="5"/>
  <c r="O96" i="5"/>
  <c r="B99" i="5"/>
  <c r="D101" i="5"/>
  <c r="J103" i="5"/>
  <c r="P105" i="5"/>
  <c r="R107" i="5"/>
  <c r="H92" i="5"/>
  <c r="N94" i="5"/>
  <c r="T96" i="5"/>
  <c r="D100" i="5"/>
  <c r="G103" i="5"/>
  <c r="B106" i="5"/>
  <c r="C44" i="5"/>
  <c r="T49" i="5"/>
  <c r="O56" i="5"/>
  <c r="B48" i="5"/>
  <c r="J56" i="5"/>
  <c r="Q46" i="5"/>
  <c r="F55" i="5"/>
  <c r="T46" i="5"/>
  <c r="D54" i="5"/>
  <c r="S61" i="5"/>
  <c r="G47" i="5"/>
  <c r="G51" i="5"/>
  <c r="C55" i="5"/>
  <c r="B60" i="5"/>
  <c r="N45" i="5"/>
  <c r="R49" i="5"/>
  <c r="C54" i="5"/>
  <c r="R57" i="5"/>
  <c r="H57" i="5"/>
  <c r="H61" i="5"/>
  <c r="K105" i="5"/>
  <c r="P107" i="5"/>
  <c r="M90" i="5"/>
  <c r="P91" i="5"/>
  <c r="J93" i="5"/>
  <c r="D95" i="5"/>
  <c r="Q96" i="5"/>
  <c r="K98" i="5"/>
  <c r="E100" i="5"/>
  <c r="R101" i="5"/>
  <c r="L103" i="5"/>
  <c r="F105" i="5"/>
  <c r="D107" i="5"/>
  <c r="T106" i="5"/>
  <c r="Q107" i="5"/>
  <c r="N108" i="5"/>
  <c r="N91" i="5"/>
  <c r="K92" i="5"/>
  <c r="H93" i="5"/>
  <c r="E94" i="5"/>
  <c r="B95" i="5"/>
  <c r="R95" i="5"/>
  <c r="S96" i="5"/>
  <c r="E98" i="5"/>
  <c r="F99" i="5"/>
  <c r="G100" i="5"/>
  <c r="L101" i="5"/>
  <c r="M102" i="5"/>
  <c r="N103" i="5"/>
  <c r="S104" i="5"/>
  <c r="T105" i="5"/>
  <c r="B107" i="5"/>
  <c r="G108" i="5"/>
  <c r="K91" i="5"/>
  <c r="L92" i="5"/>
  <c r="Q93" i="5"/>
  <c r="R94" i="5"/>
  <c r="S95" i="5"/>
  <c r="M97" i="5"/>
  <c r="C99" i="5"/>
  <c r="H100" i="5"/>
  <c r="B102" i="5"/>
  <c r="K103" i="5"/>
  <c r="T104" i="5"/>
  <c r="N106" i="5"/>
  <c r="S107" i="5"/>
  <c r="K44" i="5"/>
  <c r="R47" i="5"/>
  <c r="Q50" i="5"/>
  <c r="H53" i="5"/>
  <c r="G58" i="5"/>
  <c r="C45" i="5"/>
  <c r="R48" i="5"/>
  <c r="K53" i="5"/>
  <c r="R56" i="5"/>
  <c r="T62" i="5"/>
  <c r="K48" i="5"/>
  <c r="G52" i="5"/>
  <c r="N55" i="5"/>
  <c r="D62" i="5"/>
  <c r="I47" i="5"/>
  <c r="M51" i="5"/>
  <c r="Q55" i="5"/>
  <c r="S59" i="5"/>
  <c r="K62" i="5"/>
  <c r="Q45" i="5"/>
  <c r="S47" i="5"/>
  <c r="M49" i="5"/>
  <c r="O51" i="5"/>
  <c r="Q53" i="5"/>
  <c r="O55" i="5"/>
  <c r="H58" i="5"/>
  <c r="M60" i="5"/>
  <c r="E44" i="5"/>
  <c r="K46" i="5"/>
  <c r="I48" i="5"/>
  <c r="C50" i="5"/>
  <c r="I52" i="5"/>
  <c r="G54" i="5"/>
  <c r="E56" i="5"/>
  <c r="T58" i="5"/>
  <c r="F61" i="5"/>
  <c r="L57" i="5"/>
  <c r="R59" i="5"/>
  <c r="P61" i="5"/>
  <c r="S105" i="5"/>
  <c r="M108" i="5"/>
  <c r="Q90" i="5"/>
  <c r="E92" i="5"/>
  <c r="R93" i="5"/>
  <c r="L95" i="5"/>
  <c r="F97" i="5"/>
  <c r="S98" i="5"/>
  <c r="M100" i="5"/>
  <c r="G102" i="5"/>
  <c r="T103" i="5"/>
  <c r="N105" i="5"/>
  <c r="T107" i="5"/>
  <c r="E107" i="5"/>
  <c r="B108" i="5"/>
  <c r="R108" i="5"/>
  <c r="R91" i="5"/>
  <c r="O92" i="5"/>
  <c r="L93" i="5"/>
  <c r="I94" i="5"/>
  <c r="F95" i="5"/>
  <c r="C96" i="5"/>
  <c r="H97" i="5"/>
  <c r="I98" i="5"/>
  <c r="J99" i="5"/>
  <c r="O100" i="5"/>
  <c r="P101" i="5"/>
  <c r="Q102" i="5"/>
  <c r="C104" i="5"/>
  <c r="D105" i="5"/>
  <c r="E106" i="5"/>
  <c r="J107" i="5"/>
  <c r="K108" i="5"/>
  <c r="O91" i="5"/>
  <c r="T92" i="5"/>
  <c r="B94" i="5"/>
  <c r="C95" i="5"/>
  <c r="L96" i="5"/>
  <c r="Q97" i="5"/>
  <c r="G99" i="5"/>
  <c r="T100" i="5"/>
  <c r="J102" i="5"/>
  <c r="O103" i="5"/>
  <c r="I105" i="5"/>
  <c r="R106" i="5"/>
  <c r="H108" i="5"/>
  <c r="P45" i="5"/>
  <c r="G48" i="5"/>
  <c r="F51" i="5"/>
  <c r="B55" i="5"/>
  <c r="I59" i="5"/>
  <c r="K45" i="5"/>
  <c r="D50" i="5"/>
  <c r="S53" i="5"/>
  <c r="K58" i="5"/>
  <c r="L45" i="5"/>
  <c r="S48" i="5"/>
  <c r="D53" i="5"/>
  <c r="J57" i="5"/>
  <c r="R44" i="5"/>
  <c r="F48" i="5"/>
  <c r="J52" i="5"/>
  <c r="N56" i="5"/>
  <c r="J62" i="5"/>
  <c r="L44" i="5"/>
  <c r="F46" i="5"/>
  <c r="D48" i="5"/>
  <c r="J50" i="5"/>
  <c r="H52" i="5"/>
  <c r="B54" i="5"/>
  <c r="H56" i="5"/>
  <c r="N58" i="5"/>
  <c r="E61" i="5"/>
  <c r="B45" i="5"/>
  <c r="O46" i="5"/>
  <c r="M48" i="5"/>
  <c r="S50" i="5"/>
  <c r="Q52" i="5"/>
  <c r="K54" i="5"/>
  <c r="Q56" i="5"/>
  <c r="G59" i="5"/>
  <c r="C62" i="5"/>
  <c r="I58" i="5"/>
  <c r="C60" i="5"/>
  <c r="E62" i="5"/>
  <c r="G96" i="5"/>
  <c r="D97" i="5"/>
  <c r="T97" i="5"/>
  <c r="Q98" i="5"/>
  <c r="N99" i="5"/>
  <c r="K100" i="5"/>
  <c r="H101" i="5"/>
  <c r="E102" i="5"/>
  <c r="B103" i="5"/>
  <c r="R103" i="5"/>
  <c r="O104" i="5"/>
  <c r="L105" i="5"/>
  <c r="I106" i="5"/>
  <c r="F107" i="5"/>
  <c r="C108" i="5"/>
  <c r="S108" i="5"/>
  <c r="S91" i="5"/>
  <c r="P92" i="5"/>
  <c r="M93" i="5"/>
  <c r="J94" i="5"/>
  <c r="G95" i="5"/>
  <c r="D96" i="5"/>
  <c r="I97" i="5"/>
  <c r="J98" i="5"/>
  <c r="K99" i="5"/>
  <c r="P100" i="5"/>
  <c r="Q101" i="5"/>
  <c r="R102" i="5"/>
  <c r="D104" i="5"/>
  <c r="E105" i="5"/>
  <c r="F106" i="5"/>
  <c r="K107" i="5"/>
  <c r="L108" i="5"/>
  <c r="S44" i="5"/>
  <c r="J47" i="5"/>
  <c r="L49" i="5"/>
  <c r="N51" i="5"/>
  <c r="M54" i="5"/>
  <c r="E57" i="5"/>
  <c r="M61" i="5"/>
  <c r="P46" i="5"/>
  <c r="O49" i="5"/>
  <c r="F52" i="5"/>
  <c r="M55" i="5"/>
  <c r="C59" i="5"/>
  <c r="O44" i="5"/>
  <c r="C48" i="5"/>
  <c r="M50" i="5"/>
  <c r="L53" i="5"/>
  <c r="S56" i="5"/>
  <c r="B61" i="5"/>
  <c r="O45" i="5"/>
  <c r="C49" i="5"/>
  <c r="B52" i="5"/>
  <c r="T54" i="5"/>
  <c r="P58" i="5"/>
  <c r="Q60" i="5"/>
  <c r="P62" i="5"/>
  <c r="M45" i="5"/>
  <c r="C47" i="5"/>
  <c r="H48" i="5"/>
  <c r="B50" i="5"/>
  <c r="K51" i="5"/>
  <c r="T52" i="5"/>
  <c r="N54" i="5"/>
  <c r="S55" i="5"/>
  <c r="K57" i="5"/>
  <c r="P59" i="5"/>
  <c r="O61" i="5"/>
  <c r="I44" i="5"/>
  <c r="C46" i="5"/>
  <c r="L47" i="5"/>
  <c r="B49" i="5"/>
  <c r="O50" i="5"/>
  <c r="T51" i="5"/>
  <c r="J53" i="5"/>
  <c r="D55" i="5"/>
  <c r="M56" i="5"/>
  <c r="D58" i="5"/>
  <c r="I60" i="5"/>
  <c r="H62" i="5"/>
  <c r="T57" i="5"/>
  <c r="N59" i="5"/>
  <c r="S60" i="5"/>
  <c r="I62" i="5"/>
  <c r="H96" i="5"/>
  <c r="E97" i="5"/>
  <c r="B98" i="5"/>
  <c r="R98" i="5"/>
  <c r="O99" i="5"/>
  <c r="L100" i="5"/>
  <c r="I101" i="5"/>
  <c r="F102" i="5"/>
  <c r="C103" i="5"/>
  <c r="S103" i="5"/>
  <c r="P104" i="5"/>
  <c r="M105" i="5"/>
  <c r="J106" i="5"/>
  <c r="G107" i="5"/>
  <c r="D108" i="5"/>
  <c r="H45" i="5"/>
  <c r="B47" i="5"/>
  <c r="O48" i="5"/>
  <c r="I50" i="5"/>
  <c r="C52" i="5"/>
  <c r="P53" i="5"/>
  <c r="G56" i="5"/>
  <c r="R58" i="5"/>
  <c r="O62" i="5"/>
  <c r="H46" i="5"/>
  <c r="J48" i="5"/>
  <c r="L50" i="5"/>
  <c r="C53" i="5"/>
  <c r="E55" i="5"/>
  <c r="I57" i="5"/>
  <c r="P60" i="5"/>
  <c r="D45" i="5"/>
  <c r="F47" i="5"/>
  <c r="P49" i="5"/>
  <c r="R51" i="5"/>
  <c r="T53" i="5"/>
  <c r="K56" i="5"/>
  <c r="D59" i="5"/>
  <c r="B44" i="5"/>
  <c r="L46" i="5"/>
  <c r="N48" i="5"/>
  <c r="P50" i="5"/>
  <c r="G53" i="5"/>
  <c r="I55" i="5"/>
  <c r="N57" i="5"/>
  <c r="G61" i="5"/>
  <c r="N61" i="5"/>
  <c r="D44" i="5"/>
  <c r="I45" i="5"/>
  <c r="J46" i="5"/>
  <c r="K47" i="5"/>
  <c r="P48" i="5"/>
  <c r="Q49" i="5"/>
  <c r="R50" i="5"/>
  <c r="D52" i="5"/>
  <c r="E53" i="5"/>
  <c r="F54" i="5"/>
  <c r="K55" i="5"/>
  <c r="L56" i="5"/>
  <c r="Q57" i="5"/>
  <c r="K59" i="5"/>
  <c r="R60" i="5"/>
  <c r="G62" i="5"/>
  <c r="Q44" i="5"/>
  <c r="R45" i="5"/>
  <c r="S46" i="5"/>
  <c r="E48" i="5"/>
  <c r="F49" i="5"/>
  <c r="G50" i="5"/>
  <c r="L51" i="5"/>
  <c r="M52" i="5"/>
  <c r="N53" i="5"/>
  <c r="S54" i="5"/>
  <c r="T55" i="5"/>
  <c r="B57" i="5"/>
  <c r="O58" i="5"/>
  <c r="D60" i="5"/>
  <c r="K61" i="5"/>
  <c r="D57" i="5"/>
  <c r="E58" i="5"/>
  <c r="F59" i="5"/>
  <c r="K60" i="5"/>
  <c r="L61" i="5"/>
  <c r="M62" i="5"/>
  <c r="E54" i="5"/>
  <c r="R55" i="5"/>
  <c r="O57" i="5"/>
  <c r="T59" i="5"/>
  <c r="F44" i="5"/>
  <c r="S45" i="5"/>
  <c r="M47" i="5"/>
  <c r="G49" i="5"/>
  <c r="T50" i="5"/>
  <c r="N52" i="5"/>
  <c r="H54" i="5"/>
  <c r="B56" i="5"/>
  <c r="S57" i="5"/>
  <c r="E60" i="5"/>
  <c r="G44" i="5"/>
  <c r="T45" i="5"/>
  <c r="N47" i="5"/>
  <c r="H49" i="5"/>
  <c r="B51" i="5"/>
  <c r="O52" i="5"/>
  <c r="I54" i="5"/>
  <c r="C56" i="5"/>
  <c r="B58" i="5"/>
  <c r="F60" i="5"/>
  <c r="J44" i="5"/>
  <c r="D46" i="5"/>
  <c r="Q47" i="5"/>
  <c r="K49" i="5"/>
  <c r="E51" i="5"/>
  <c r="R52" i="5"/>
  <c r="L54" i="5"/>
  <c r="F56" i="5"/>
  <c r="F58" i="5"/>
  <c r="J60" i="5"/>
  <c r="C61" i="5"/>
  <c r="F62" i="5"/>
  <c r="H44" i="5"/>
  <c r="E45" i="5"/>
  <c r="B46" i="5"/>
  <c r="R46" i="5"/>
  <c r="O47" i="5"/>
  <c r="L48" i="5"/>
  <c r="I49" i="5"/>
  <c r="F50" i="5"/>
  <c r="C51" i="5"/>
  <c r="S51" i="5"/>
  <c r="P52" i="5"/>
  <c r="M53" i="5"/>
  <c r="J54" i="5"/>
  <c r="G55" i="5"/>
  <c r="D56" i="5"/>
  <c r="T56" i="5"/>
  <c r="C58" i="5"/>
  <c r="E59" i="5"/>
  <c r="H60" i="5"/>
  <c r="J61" i="5"/>
  <c r="L62" i="5"/>
  <c r="M44" i="5"/>
  <c r="J45" i="5"/>
  <c r="G46" i="5"/>
  <c r="D47" i="5"/>
  <c r="T47" i="5"/>
  <c r="Q48" i="5"/>
  <c r="N49" i="5"/>
  <c r="K50" i="5"/>
  <c r="H51" i="5"/>
  <c r="E52" i="5"/>
  <c r="B53" i="5"/>
  <c r="R53" i="5"/>
  <c r="O54" i="5"/>
  <c r="L55" i="5"/>
  <c r="I56" i="5"/>
  <c r="G57" i="5"/>
  <c r="J58" i="5"/>
  <c r="L59" i="5"/>
  <c r="N60" i="5"/>
  <c r="Q61" i="5"/>
  <c r="S62" i="5"/>
  <c r="P57" i="5"/>
  <c r="M58" i="5"/>
  <c r="J59" i="5"/>
  <c r="G60" i="5"/>
  <c r="D61" i="5"/>
  <c r="T61" i="5"/>
  <c r="G45" i="4"/>
  <c r="H46" i="4"/>
  <c r="K56" i="4"/>
  <c r="M28" i="4"/>
  <c r="M27" i="4" s="1"/>
  <c r="L56" i="4"/>
  <c r="G55" i="1"/>
  <c r="G54" i="1"/>
  <c r="G53" i="1"/>
  <c r="G52" i="1"/>
  <c r="G51" i="1" s="1"/>
  <c r="G50" i="1" s="1"/>
  <c r="G49" i="1" s="1"/>
  <c r="G48" i="1" s="1"/>
  <c r="G47" i="1" s="1"/>
  <c r="G46" i="1" s="1"/>
  <c r="G45" i="1" s="1"/>
  <c r="G44" i="1" s="1"/>
  <c r="G43" i="1" s="1"/>
  <c r="G42" i="1" s="1"/>
  <c r="G41" i="1" s="1"/>
  <c r="G40" i="1" s="1"/>
  <c r="G39" i="1" s="1"/>
  <c r="G38" i="1" s="1"/>
  <c r="G37" i="1" s="1"/>
  <c r="G36" i="1" s="1"/>
  <c r="G35" i="1" s="1"/>
  <c r="G34" i="1" s="1"/>
  <c r="G33" i="1" s="1"/>
  <c r="G32" i="1" s="1"/>
  <c r="N28" i="4" l="1"/>
  <c r="N27" i="4" s="1"/>
  <c r="G44" i="4"/>
  <c r="H45" i="4"/>
  <c r="D23" i="1"/>
  <c r="N56" i="4" l="1"/>
  <c r="G43" i="4"/>
  <c r="H44" i="4"/>
  <c r="O28" i="4"/>
  <c r="O27" i="4" s="1"/>
  <c r="O56" i="4" s="1"/>
  <c r="M56" i="4"/>
  <c r="A88" i="2"/>
  <c r="P28" i="4" l="1"/>
  <c r="P27" i="4" s="1"/>
  <c r="G42" i="4"/>
  <c r="H43" i="4"/>
  <c r="AB3" i="1"/>
  <c r="A64" i="2" s="1"/>
  <c r="AB4" i="1"/>
  <c r="A65" i="2" s="1"/>
  <c r="AB5" i="1"/>
  <c r="A66" i="2" s="1"/>
  <c r="AB6" i="1"/>
  <c r="A67" i="2" s="1"/>
  <c r="AB7" i="1"/>
  <c r="A68" i="2" s="1"/>
  <c r="AB8" i="1"/>
  <c r="A69" i="2" s="1"/>
  <c r="AB9" i="1"/>
  <c r="A70" i="2" s="1"/>
  <c r="AB10" i="1"/>
  <c r="A71" i="2" s="1"/>
  <c r="AB11" i="1"/>
  <c r="A72" i="2" s="1"/>
  <c r="AB12" i="1"/>
  <c r="A73" i="2" s="1"/>
  <c r="AB13" i="1"/>
  <c r="A74" i="2" s="1"/>
  <c r="AB14" i="1"/>
  <c r="A75" i="2" s="1"/>
  <c r="AB15" i="1"/>
  <c r="A76" i="2" s="1"/>
  <c r="AB16" i="1"/>
  <c r="A77" i="2" s="1"/>
  <c r="AB17" i="1"/>
  <c r="A78" i="2" s="1"/>
  <c r="AB18" i="1"/>
  <c r="A79" i="2" s="1"/>
  <c r="AB19" i="1"/>
  <c r="A80" i="2" s="1"/>
  <c r="AB20" i="1"/>
  <c r="A81" i="2" s="1"/>
  <c r="AB21" i="1"/>
  <c r="A82" i="2" s="1"/>
  <c r="AB22" i="1"/>
  <c r="A83" i="2" s="1"/>
  <c r="AB23" i="1"/>
  <c r="A84" i="2" s="1"/>
  <c r="AB24" i="1"/>
  <c r="A85" i="2" s="1"/>
  <c r="AB25" i="1"/>
  <c r="A86" i="2" s="1"/>
  <c r="AB26" i="1"/>
  <c r="A87" i="2" s="1"/>
  <c r="T27" i="1"/>
  <c r="U27" i="1"/>
  <c r="V27" i="1"/>
  <c r="W27" i="1"/>
  <c r="X27" i="1"/>
  <c r="Y27" i="1"/>
  <c r="Z27" i="1"/>
  <c r="AA27" i="1"/>
  <c r="P27" i="1"/>
  <c r="Q27" i="1"/>
  <c r="R27" i="1"/>
  <c r="S27" i="1"/>
  <c r="K27" i="1"/>
  <c r="L27" i="1"/>
  <c r="M27" i="1"/>
  <c r="N27" i="1"/>
  <c r="O27" i="1"/>
  <c r="I27" i="1"/>
  <c r="J27" i="1"/>
  <c r="H27" i="1"/>
  <c r="AA28" i="1"/>
  <c r="AB28" i="1" s="1"/>
  <c r="R28" i="1"/>
  <c r="S28" i="1"/>
  <c r="T28" i="1"/>
  <c r="U28" i="1"/>
  <c r="V28" i="1" s="1"/>
  <c r="W28" i="1" s="1"/>
  <c r="X28" i="1" s="1"/>
  <c r="Y28" i="1" s="1"/>
  <c r="Z28" i="1" s="1"/>
  <c r="J28" i="1"/>
  <c r="K28" i="1"/>
  <c r="L28" i="1"/>
  <c r="M28" i="1"/>
  <c r="N28" i="1" s="1"/>
  <c r="O28" i="1" s="1"/>
  <c r="P28" i="1" s="1"/>
  <c r="Q28" i="1" s="1"/>
  <c r="I28" i="1"/>
  <c r="H28" i="1"/>
  <c r="P56" i="4" l="1"/>
  <c r="G41" i="4"/>
  <c r="H42" i="4"/>
  <c r="Q28" i="4"/>
  <c r="Q27" i="4" s="1"/>
  <c r="Q56" i="4" s="1"/>
  <c r="E1" i="2"/>
  <c r="H1" i="2"/>
  <c r="T65" i="2" s="1"/>
  <c r="G25" i="1"/>
  <c r="G24" i="1" s="1"/>
  <c r="G23" i="1" s="1"/>
  <c r="G22" i="1" s="1"/>
  <c r="G21" i="1" s="1"/>
  <c r="G20" i="1" s="1"/>
  <c r="G19" i="1" s="1"/>
  <c r="G18" i="1" s="1"/>
  <c r="G17" i="1" s="1"/>
  <c r="G16" i="1" s="1"/>
  <c r="G15" i="1" s="1"/>
  <c r="G14" i="1" s="1"/>
  <c r="G13" i="1" s="1"/>
  <c r="G12" i="1" s="1"/>
  <c r="G11" i="1" s="1"/>
  <c r="G10" i="1" s="1"/>
  <c r="G9" i="1" s="1"/>
  <c r="G8" i="1" s="1"/>
  <c r="G7" i="1" s="1"/>
  <c r="G6" i="1" s="1"/>
  <c r="G5" i="1" s="1"/>
  <c r="G4" i="1" s="1"/>
  <c r="G3" i="1" s="1"/>
  <c r="G26" i="1"/>
  <c r="D22" i="1"/>
  <c r="D21" i="1"/>
  <c r="D20" i="1"/>
  <c r="D16" i="1"/>
  <c r="D17" i="1" s="1"/>
  <c r="D18" i="1"/>
  <c r="D19" i="1"/>
  <c r="D15" i="1"/>
  <c r="R28" i="4" l="1"/>
  <c r="R27" i="4" s="1"/>
  <c r="G40" i="4"/>
  <c r="H41" i="4"/>
  <c r="R20" i="2"/>
  <c r="N16" i="2"/>
  <c r="J12" i="2"/>
  <c r="F8" i="2"/>
  <c r="B24" i="2"/>
  <c r="H10" i="2"/>
  <c r="O17" i="2"/>
  <c r="G9" i="2"/>
  <c r="C24" i="2"/>
  <c r="D25" i="2" s="1"/>
  <c r="E26" i="2" s="1"/>
  <c r="F27" i="2" s="1"/>
  <c r="G28" i="2" s="1"/>
  <c r="H29" i="2" s="1"/>
  <c r="I30" i="2" s="1"/>
  <c r="J31" i="2" s="1"/>
  <c r="K32" i="2" s="1"/>
  <c r="L33" i="2" s="1"/>
  <c r="M34" i="2" s="1"/>
  <c r="N35" i="2" s="1"/>
  <c r="O36" i="2" s="1"/>
  <c r="P37" i="2" s="1"/>
  <c r="Q38" i="2" s="1"/>
  <c r="R39" i="2" s="1"/>
  <c r="S40" i="2" s="1"/>
  <c r="T41" i="2" s="1"/>
  <c r="Q19" i="2"/>
  <c r="M15" i="2"/>
  <c r="I11" i="2"/>
  <c r="E7" i="2"/>
  <c r="P18" i="2"/>
  <c r="L14" i="2"/>
  <c r="D6" i="2"/>
  <c r="B25" i="2"/>
  <c r="C26" i="2" s="1"/>
  <c r="D27" i="2" s="1"/>
  <c r="E28" i="2" s="1"/>
  <c r="F29" i="2" s="1"/>
  <c r="G30" i="2" s="1"/>
  <c r="H31" i="2" s="1"/>
  <c r="I32" i="2" s="1"/>
  <c r="J33" i="2" s="1"/>
  <c r="K34" i="2" s="1"/>
  <c r="L35" i="2" s="1"/>
  <c r="M36" i="2" s="1"/>
  <c r="N37" i="2" s="1"/>
  <c r="O38" i="2" s="1"/>
  <c r="P39" i="2" s="1"/>
  <c r="Q40" i="2" s="1"/>
  <c r="R41" i="2" s="1"/>
  <c r="S42" i="2" s="1"/>
  <c r="S21" i="2"/>
  <c r="K13" i="2"/>
  <c r="C5" i="2"/>
  <c r="C25" i="2"/>
  <c r="D26" i="2" s="1"/>
  <c r="E27" i="2" s="1"/>
  <c r="F28" i="2" s="1"/>
  <c r="G29" i="2" s="1"/>
  <c r="H30" i="2" s="1"/>
  <c r="I31" i="2" s="1"/>
  <c r="J32" i="2" s="1"/>
  <c r="K33" i="2" s="1"/>
  <c r="L34" i="2" s="1"/>
  <c r="M35" i="2" s="1"/>
  <c r="N36" i="2" s="1"/>
  <c r="O37" i="2" s="1"/>
  <c r="P38" i="2" s="1"/>
  <c r="Q39" i="2" s="1"/>
  <c r="R40" i="2" s="1"/>
  <c r="S41" i="2" s="1"/>
  <c r="T42" i="2" s="1"/>
  <c r="T69" i="2"/>
  <c r="T73" i="2"/>
  <c r="T77" i="2"/>
  <c r="T81" i="2"/>
  <c r="T85" i="2"/>
  <c r="T67" i="2"/>
  <c r="T71" i="2"/>
  <c r="T75" i="2"/>
  <c r="T79" i="2"/>
  <c r="T83" i="2"/>
  <c r="T87" i="2"/>
  <c r="T68" i="2"/>
  <c r="T72" i="2"/>
  <c r="T76" i="2"/>
  <c r="T80" i="2"/>
  <c r="T84" i="2"/>
  <c r="T88" i="2"/>
  <c r="T66" i="2"/>
  <c r="T70" i="2"/>
  <c r="T74" i="2"/>
  <c r="T78" i="2"/>
  <c r="T82" i="2"/>
  <c r="T86" i="2"/>
  <c r="C3" i="2"/>
  <c r="D4" i="2" s="1"/>
  <c r="E5" i="2" s="1"/>
  <c r="F6" i="2" s="1"/>
  <c r="G7" i="2" s="1"/>
  <c r="H8" i="2" s="1"/>
  <c r="I9" i="2" s="1"/>
  <c r="J10" i="2" s="1"/>
  <c r="K11" i="2" s="1"/>
  <c r="L12" i="2" s="1"/>
  <c r="M13" i="2" s="1"/>
  <c r="N14" i="2" s="1"/>
  <c r="O15" i="2" s="1"/>
  <c r="P16" i="2" s="1"/>
  <c r="Q17" i="2" s="1"/>
  <c r="R18" i="2" s="1"/>
  <c r="S19" i="2" s="1"/>
  <c r="T20" i="2" s="1"/>
  <c r="B3" i="2"/>
  <c r="B4" i="2"/>
  <c r="R56" i="4" l="1"/>
  <c r="G39" i="4"/>
  <c r="H40" i="4"/>
  <c r="S28" i="4"/>
  <c r="S27" i="4" s="1"/>
  <c r="S56" i="4" s="1"/>
  <c r="C4" i="2"/>
  <c r="D5" i="2" s="1"/>
  <c r="E6" i="2" s="1"/>
  <c r="F7" i="2" s="1"/>
  <c r="G8" i="2" s="1"/>
  <c r="H9" i="2" s="1"/>
  <c r="I10" i="2" s="1"/>
  <c r="J11" i="2" s="1"/>
  <c r="K12" i="2" s="1"/>
  <c r="L13" i="2" s="1"/>
  <c r="M14" i="2" s="1"/>
  <c r="N15" i="2" s="1"/>
  <c r="O16" i="2" s="1"/>
  <c r="P17" i="2" s="1"/>
  <c r="Q18" i="2" s="1"/>
  <c r="R19" i="2" s="1"/>
  <c r="S20" i="2" s="1"/>
  <c r="T21" i="2" s="1"/>
  <c r="T28" i="4" l="1"/>
  <c r="T27" i="4" s="1"/>
  <c r="G38" i="4"/>
  <c r="H39" i="4"/>
  <c r="B44" i="2" a="1"/>
  <c r="B44" i="2" s="1"/>
  <c r="B90" i="2" a="1"/>
  <c r="Q90" i="2" s="1"/>
  <c r="T56" i="4" l="1"/>
  <c r="G37" i="4"/>
  <c r="H38" i="4"/>
  <c r="U28" i="4"/>
  <c r="U27" i="4" s="1"/>
  <c r="U56" i="4" s="1"/>
  <c r="N98" i="2"/>
  <c r="C91" i="2"/>
  <c r="D104" i="2"/>
  <c r="T100" i="2"/>
  <c r="O92" i="2"/>
  <c r="Q98" i="2"/>
  <c r="J92" i="2"/>
  <c r="E99" i="2"/>
  <c r="S92" i="2"/>
  <c r="D107" i="2"/>
  <c r="F44" i="2"/>
  <c r="L54" i="2"/>
  <c r="L46" i="2"/>
  <c r="J50" i="2"/>
  <c r="M45" i="2"/>
  <c r="L45" i="2"/>
  <c r="L104" i="2"/>
  <c r="K99" i="2"/>
  <c r="O91" i="2"/>
  <c r="B100" i="2"/>
  <c r="I104" i="2"/>
  <c r="F108" i="2"/>
  <c r="D99" i="2"/>
  <c r="J100" i="2"/>
  <c r="B97" i="2"/>
  <c r="K49" i="2"/>
  <c r="K61" i="2"/>
  <c r="K48" i="2"/>
  <c r="G56" i="2"/>
  <c r="K52" i="2"/>
  <c r="F90" i="2"/>
  <c r="J90" i="2"/>
  <c r="F102" i="2"/>
  <c r="E101" i="2"/>
  <c r="I97" i="2"/>
  <c r="F94" i="2"/>
  <c r="J107" i="2"/>
  <c r="S98" i="2"/>
  <c r="B107" i="2"/>
  <c r="Q102" i="2"/>
  <c r="H94" i="2"/>
  <c r="M98" i="2"/>
  <c r="P105" i="2"/>
  <c r="C106" i="2"/>
  <c r="J97" i="2"/>
  <c r="C97" i="2"/>
  <c r="E98" i="2"/>
  <c r="J103" i="2"/>
  <c r="B95" i="2"/>
  <c r="N52" i="2"/>
  <c r="H50" i="2"/>
  <c r="E47" i="2"/>
  <c r="J48" i="2"/>
  <c r="D54" i="2"/>
  <c r="L60" i="2"/>
  <c r="P62" i="2"/>
  <c r="F51" i="2"/>
  <c r="E53" i="2"/>
  <c r="J51" i="2"/>
  <c r="J61" i="2"/>
  <c r="T49" i="2"/>
  <c r="E97" i="2"/>
  <c r="N90" i="2"/>
  <c r="T102" i="2"/>
  <c r="T106" i="2"/>
  <c r="D106" i="2"/>
  <c r="G102" i="2"/>
  <c r="R92" i="2"/>
  <c r="C100" i="2"/>
  <c r="D46" i="2"/>
  <c r="P54" i="2"/>
  <c r="Q60" i="2"/>
  <c r="N45" i="2"/>
  <c r="B57" i="2"/>
  <c r="R55" i="2"/>
  <c r="L100" i="2"/>
  <c r="R94" i="2"/>
  <c r="O107" i="2"/>
  <c r="Q107" i="2"/>
  <c r="S94" i="2"/>
  <c r="P99" i="2"/>
  <c r="P106" i="2"/>
  <c r="M99" i="2"/>
  <c r="M104" i="2"/>
  <c r="T50" i="2"/>
  <c r="G61" i="2"/>
  <c r="G53" i="2"/>
  <c r="B58" i="2"/>
  <c r="K60" i="2"/>
  <c r="K54" i="2"/>
  <c r="H59" i="2"/>
  <c r="T96" i="2"/>
  <c r="H96" i="2"/>
  <c r="J106" i="2"/>
  <c r="N94" i="2"/>
  <c r="J102" i="2"/>
  <c r="D100" i="2"/>
  <c r="H103" i="2"/>
  <c r="T94" i="2"/>
  <c r="H107" i="2"/>
  <c r="T99" i="2"/>
  <c r="K108" i="2"/>
  <c r="D94" i="2"/>
  <c r="R100" i="2"/>
  <c r="Q103" i="2"/>
  <c r="C94" i="2"/>
  <c r="J93" i="2"/>
  <c r="S107" i="2"/>
  <c r="I100" i="2"/>
  <c r="L90" i="2"/>
  <c r="J44" i="2"/>
  <c r="O53" i="2"/>
  <c r="S53" i="2"/>
  <c r="F60" i="2"/>
  <c r="R60" i="2"/>
  <c r="L51" i="2"/>
  <c r="I54" i="2"/>
  <c r="O48" i="2"/>
  <c r="I60" i="2"/>
  <c r="C48" i="2"/>
  <c r="S58" i="2"/>
  <c r="R46" i="2"/>
  <c r="T62" i="2"/>
  <c r="S62" i="2"/>
  <c r="S50" i="2"/>
  <c r="K44" i="2"/>
  <c r="J62" i="2"/>
  <c r="P56" i="2"/>
  <c r="G50" i="2"/>
  <c r="O44" i="2"/>
  <c r="E61" i="2"/>
  <c r="O54" i="2"/>
  <c r="E52" i="2"/>
  <c r="P45" i="2"/>
  <c r="S91" i="2"/>
  <c r="B102" i="2"/>
  <c r="D92" i="2"/>
  <c r="B98" i="2"/>
  <c r="S103" i="2"/>
  <c r="P92" i="2"/>
  <c r="I105" i="2"/>
  <c r="E93" i="2"/>
  <c r="F98" i="2"/>
  <c r="T104" i="2"/>
  <c r="C95" i="2"/>
  <c r="H104" i="2"/>
  <c r="S105" i="2"/>
  <c r="L102" i="2"/>
  <c r="F97" i="2"/>
  <c r="E92" i="2"/>
  <c r="R108" i="2"/>
  <c r="K105" i="2"/>
  <c r="K102" i="2"/>
  <c r="O97" i="2"/>
  <c r="C92" i="2"/>
  <c r="L103" i="2"/>
  <c r="K97" i="2"/>
  <c r="H91" i="2"/>
  <c r="F104" i="2"/>
  <c r="J108" i="2"/>
  <c r="K104" i="2"/>
  <c r="L101" i="2"/>
  <c r="R96" i="2"/>
  <c r="O90" i="2"/>
  <c r="K96" i="2"/>
  <c r="P91" i="2"/>
  <c r="T108" i="2"/>
  <c r="G106" i="2"/>
  <c r="S102" i="2"/>
  <c r="I98" i="2"/>
  <c r="N93" i="2"/>
  <c r="S45" i="2"/>
  <c r="B56" i="2"/>
  <c r="T46" i="2"/>
  <c r="E51" i="2"/>
  <c r="S57" i="2"/>
  <c r="B48" i="2"/>
  <c r="G57" i="2"/>
  <c r="E55" i="2"/>
  <c r="I47" i="2"/>
  <c r="N56" i="2"/>
  <c r="T52" i="2"/>
  <c r="J59" i="2"/>
  <c r="C47" i="2"/>
  <c r="E50" i="2"/>
  <c r="D62" i="2"/>
  <c r="R49" i="2"/>
  <c r="S59" i="2"/>
  <c r="J53" i="2"/>
  <c r="C50" i="2"/>
  <c r="O46" i="2"/>
  <c r="E44" i="2"/>
  <c r="D57" i="2"/>
  <c r="L61" i="2"/>
  <c r="B59" i="2"/>
  <c r="S55" i="2"/>
  <c r="L52" i="2"/>
  <c r="B50" i="2"/>
  <c r="S46" i="2"/>
  <c r="K62" i="2"/>
  <c r="P53" i="2"/>
  <c r="H60" i="2"/>
  <c r="T56" i="2"/>
  <c r="J54" i="2"/>
  <c r="H51" i="2"/>
  <c r="T47" i="2"/>
  <c r="J45" i="2"/>
  <c r="N54" i="2"/>
  <c r="F53" i="2"/>
  <c r="B54" i="2"/>
  <c r="R47" i="2"/>
  <c r="N59" i="2"/>
  <c r="G59" i="2"/>
  <c r="N53" i="2"/>
  <c r="P47" i="2"/>
  <c r="O55" i="2"/>
  <c r="C58" i="2"/>
  <c r="D49" i="2"/>
  <c r="G95" i="2"/>
  <c r="R102" i="2"/>
  <c r="Q93" i="2"/>
  <c r="O99" i="2"/>
  <c r="M105" i="2"/>
  <c r="J94" i="2"/>
  <c r="G91" i="2"/>
  <c r="B94" i="2"/>
  <c r="S99" i="2"/>
  <c r="K107" i="2"/>
  <c r="J98" i="2"/>
  <c r="E105" i="2"/>
  <c r="Q104" i="2"/>
  <c r="C101" i="2"/>
  <c r="L95" i="2"/>
  <c r="B91" i="2"/>
  <c r="G108" i="2"/>
  <c r="O104" i="2"/>
  <c r="H101" i="2"/>
  <c r="J95" i="2"/>
  <c r="T90" i="2"/>
  <c r="P102" i="2"/>
  <c r="F95" i="2"/>
  <c r="Q108" i="2"/>
  <c r="R103" i="2"/>
  <c r="L107" i="2"/>
  <c r="E104" i="2"/>
  <c r="Q100" i="2"/>
  <c r="M94" i="2"/>
  <c r="D90" i="2"/>
  <c r="D95" i="2"/>
  <c r="H90" i="2"/>
  <c r="P108" i="2"/>
  <c r="T105" i="2"/>
  <c r="K101" i="2"/>
  <c r="G97" i="2"/>
  <c r="Q92" i="2"/>
  <c r="G49" i="2"/>
  <c r="L58" i="2"/>
  <c r="Q47" i="2"/>
  <c r="R52" i="2"/>
  <c r="P58" i="2"/>
  <c r="L50" i="2"/>
  <c r="N60" i="2"/>
  <c r="R56" i="2"/>
  <c r="S49" i="2"/>
  <c r="B60" i="2"/>
  <c r="R51" i="2"/>
  <c r="C56" i="2"/>
  <c r="D59" i="2"/>
  <c r="B49" i="2"/>
  <c r="R58" i="2"/>
  <c r="F46" i="2"/>
  <c r="C59" i="2"/>
  <c r="H52" i="2"/>
  <c r="T48" i="2"/>
  <c r="J46" i="2"/>
  <c r="L44" i="2"/>
  <c r="G54" i="2"/>
  <c r="F61" i="2"/>
  <c r="E58" i="2"/>
  <c r="Q54" i="2"/>
  <c r="G52" i="2"/>
  <c r="E49" i="2"/>
  <c r="Q45" i="2"/>
  <c r="R61" i="2"/>
  <c r="I62" i="2"/>
  <c r="F59" i="2"/>
  <c r="O56" i="2"/>
  <c r="M53" i="2"/>
  <c r="F50" i="2"/>
  <c r="O47" i="2"/>
  <c r="M44" i="2"/>
  <c r="R90" i="2"/>
  <c r="P96" i="2"/>
  <c r="K103" i="2"/>
  <c r="S108" i="2"/>
  <c r="J104" i="2"/>
  <c r="J101" i="2"/>
  <c r="P97" i="2"/>
  <c r="I94" i="2"/>
  <c r="N108" i="2"/>
  <c r="M108" i="2"/>
  <c r="E106" i="2"/>
  <c r="F103" i="2"/>
  <c r="B101" i="2"/>
  <c r="D97" i="2"/>
  <c r="N92" i="2"/>
  <c r="S106" i="2"/>
  <c r="T101" i="2"/>
  <c r="I96" i="2"/>
  <c r="R91" i="2"/>
  <c r="F107" i="2"/>
  <c r="N101" i="2"/>
  <c r="E108" i="2"/>
  <c r="N105" i="2"/>
  <c r="O102" i="2"/>
  <c r="N99" i="2"/>
  <c r="G96" i="2"/>
  <c r="Q91" i="2"/>
  <c r="B99" i="2"/>
  <c r="L94" i="2"/>
  <c r="J91" i="2"/>
  <c r="N97" i="2"/>
  <c r="I107" i="2"/>
  <c r="R104" i="2"/>
  <c r="P101" i="2"/>
  <c r="T98" i="2"/>
  <c r="R95" i="2"/>
  <c r="I91" i="2"/>
  <c r="M47" i="2"/>
  <c r="H54" i="2"/>
  <c r="G45" i="2"/>
  <c r="N48" i="2"/>
  <c r="B52" i="2"/>
  <c r="I55" i="2"/>
  <c r="N44" i="2"/>
  <c r="I51" i="2"/>
  <c r="D58" i="2"/>
  <c r="D50" i="2"/>
  <c r="C61" i="2"/>
  <c r="P50" i="2"/>
  <c r="K57" i="2"/>
  <c r="M58" i="2"/>
  <c r="H47" i="2"/>
  <c r="S54" i="2"/>
  <c r="H62" i="2"/>
  <c r="L53" i="2"/>
  <c r="O59" i="2"/>
  <c r="P57" i="2"/>
  <c r="P48" i="2"/>
  <c r="G62" i="2"/>
  <c r="J55" i="2"/>
  <c r="C52" i="2"/>
  <c r="Q49" i="2"/>
  <c r="L47" i="2"/>
  <c r="H45" i="2"/>
  <c r="O62" i="2"/>
  <c r="L56" i="2"/>
  <c r="F62" i="2"/>
  <c r="D60" i="2"/>
  <c r="R57" i="2"/>
  <c r="N55" i="2"/>
  <c r="I53" i="2"/>
  <c r="D51" i="2"/>
  <c r="S48" i="2"/>
  <c r="N46" i="2"/>
  <c r="I44" i="2"/>
  <c r="K58" i="2"/>
  <c r="E62" i="2"/>
  <c r="C60" i="2"/>
  <c r="Q57" i="2"/>
  <c r="L55" i="2"/>
  <c r="H53" i="2"/>
  <c r="C51" i="2"/>
  <c r="Q48" i="2"/>
  <c r="M46" i="2"/>
  <c r="H44" i="2"/>
  <c r="F56" i="2"/>
  <c r="M59" i="2"/>
  <c r="K45" i="2"/>
  <c r="R48" i="2"/>
  <c r="F52" i="2"/>
  <c r="M55" i="2"/>
  <c r="T58" i="2"/>
  <c r="C45" i="2"/>
  <c r="Q51" i="2"/>
  <c r="O57" i="2"/>
  <c r="R44" i="2"/>
  <c r="F48" i="2"/>
  <c r="M51" i="2"/>
  <c r="T54" i="2"/>
  <c r="H58" i="2"/>
  <c r="O61" i="2"/>
  <c r="H56" i="2"/>
  <c r="O50" i="2"/>
  <c r="L62" i="2"/>
  <c r="G58" i="2"/>
  <c r="Q53" i="2"/>
  <c r="H49" i="2"/>
  <c r="I61" i="2"/>
  <c r="S56" i="2"/>
  <c r="I52" i="2"/>
  <c r="S47" i="2"/>
  <c r="J57" i="2"/>
  <c r="D61" i="2"/>
  <c r="M56" i="2"/>
  <c r="D52" i="2"/>
  <c r="N47" i="2"/>
  <c r="D45" i="2"/>
  <c r="M61" i="2"/>
  <c r="F58" i="2"/>
  <c r="R54" i="2"/>
  <c r="S52" i="2"/>
  <c r="P51" i="2"/>
  <c r="N50" i="2"/>
  <c r="L49" i="2"/>
  <c r="I48" i="2"/>
  <c r="G47" i="2"/>
  <c r="E46" i="2"/>
  <c r="B45" i="2"/>
  <c r="T45" i="2"/>
  <c r="C62" i="2"/>
  <c r="Q58" i="2"/>
  <c r="T55" i="2"/>
  <c r="R62" i="2"/>
  <c r="B62" i="2"/>
  <c r="T60" i="2"/>
  <c r="R59" i="2"/>
  <c r="O58" i="2"/>
  <c r="M57" i="2"/>
  <c r="K56" i="2"/>
  <c r="H55" i="2"/>
  <c r="F54" i="2"/>
  <c r="D53" i="2"/>
  <c r="T51" i="2"/>
  <c r="R50" i="2"/>
  <c r="P49" i="2"/>
  <c r="M48" i="2"/>
  <c r="K47" i="2"/>
  <c r="I46" i="2"/>
  <c r="F45" i="2"/>
  <c r="D44" i="2"/>
  <c r="B61" i="2"/>
  <c r="N57" i="2"/>
  <c r="Q62" i="2"/>
  <c r="T61" i="2"/>
  <c r="S60" i="2"/>
  <c r="P59" i="2"/>
  <c r="N58" i="2"/>
  <c r="L57" i="2"/>
  <c r="I56" i="2"/>
  <c r="G55" i="2"/>
  <c r="E54" i="2"/>
  <c r="B53" i="2"/>
  <c r="S51" i="2"/>
  <c r="Q50" i="2"/>
  <c r="N49" i="2"/>
  <c r="L48" i="2"/>
  <c r="J47" i="2"/>
  <c r="G46" i="2"/>
  <c r="E45" i="2"/>
  <c r="C44" i="2"/>
  <c r="C57" i="2"/>
  <c r="J60" i="2"/>
  <c r="H46" i="2"/>
  <c r="O49" i="2"/>
  <c r="C53" i="2"/>
  <c r="J56" i="2"/>
  <c r="Q59" i="2"/>
  <c r="P46" i="2"/>
  <c r="K53" i="2"/>
  <c r="I59" i="2"/>
  <c r="O45" i="2"/>
  <c r="C49" i="2"/>
  <c r="J52" i="2"/>
  <c r="Q55" i="2"/>
  <c r="E59" i="2"/>
  <c r="S61" i="2"/>
  <c r="F55" i="2"/>
  <c r="M49" i="2"/>
  <c r="N61" i="2"/>
  <c r="E57" i="2"/>
  <c r="O52" i="2"/>
  <c r="E48" i="2"/>
  <c r="G60" i="2"/>
  <c r="P55" i="2"/>
  <c r="G51" i="2"/>
  <c r="Q46" i="2"/>
  <c r="C54" i="2"/>
  <c r="T59" i="2"/>
  <c r="K55" i="2"/>
  <c r="B51" i="2"/>
  <c r="K46" i="2"/>
  <c r="Q44" i="2"/>
  <c r="P60" i="2"/>
  <c r="I57" i="2"/>
  <c r="M54" i="2"/>
  <c r="M52" i="2"/>
  <c r="K51" i="2"/>
  <c r="I50" i="2"/>
  <c r="F49" i="2"/>
  <c r="D48" i="2"/>
  <c r="B47" i="2"/>
  <c r="R45" i="2"/>
  <c r="P44" i="2"/>
  <c r="I45" i="2"/>
  <c r="H61" i="2"/>
  <c r="T57" i="2"/>
  <c r="D55" i="2"/>
  <c r="N62" i="2"/>
  <c r="Q61" i="2"/>
  <c r="O60" i="2"/>
  <c r="L59" i="2"/>
  <c r="J58" i="2"/>
  <c r="H57" i="2"/>
  <c r="E56" i="2"/>
  <c r="C55" i="2"/>
  <c r="T53" i="2"/>
  <c r="Q52" i="2"/>
  <c r="O51" i="2"/>
  <c r="M50" i="2"/>
  <c r="J49" i="2"/>
  <c r="H48" i="2"/>
  <c r="F47" i="2"/>
  <c r="C46" i="2"/>
  <c r="T44" i="2"/>
  <c r="G44" i="2"/>
  <c r="E60" i="2"/>
  <c r="Q56" i="2"/>
  <c r="M62" i="2"/>
  <c r="P61" i="2"/>
  <c r="M60" i="2"/>
  <c r="K59" i="2"/>
  <c r="I58" i="2"/>
  <c r="F57" i="2"/>
  <c r="D56" i="2"/>
  <c r="B55" i="2"/>
  <c r="R53" i="2"/>
  <c r="P52" i="2"/>
  <c r="N51" i="2"/>
  <c r="K50" i="2"/>
  <c r="I49" i="2"/>
  <c r="G48" i="2"/>
  <c r="D47" i="2"/>
  <c r="B46" i="2"/>
  <c r="S44" i="2"/>
  <c r="K98" i="2"/>
  <c r="N95" i="2"/>
  <c r="G94" i="2"/>
  <c r="M92" i="2"/>
  <c r="S90" i="2"/>
  <c r="R99" i="2"/>
  <c r="Q96" i="2"/>
  <c r="H108" i="2"/>
  <c r="O105" i="2"/>
  <c r="B104" i="2"/>
  <c r="M102" i="2"/>
  <c r="F101" i="2"/>
  <c r="L99" i="2"/>
  <c r="D98" i="2"/>
  <c r="O96" i="2"/>
  <c r="P94" i="2"/>
  <c r="K92" i="2"/>
  <c r="G90" i="2"/>
  <c r="M93" i="2"/>
  <c r="H100" i="2"/>
  <c r="F106" i="2"/>
  <c r="K95" i="2"/>
  <c r="R98" i="2"/>
  <c r="C103" i="2"/>
  <c r="G107" i="2"/>
  <c r="Q97" i="2"/>
  <c r="C107" i="2"/>
  <c r="K91" i="2"/>
  <c r="L96" i="2"/>
  <c r="P100" i="2"/>
  <c r="Q105" i="2"/>
  <c r="I93" i="2"/>
  <c r="M97" i="2"/>
  <c r="Q101" i="2"/>
  <c r="R106" i="2"/>
  <c r="O106" i="2"/>
  <c r="C104" i="2"/>
  <c r="R101" i="2"/>
  <c r="J99" i="2"/>
  <c r="N96" i="2"/>
  <c r="G93" i="2"/>
  <c r="K90" i="2"/>
  <c r="H106" i="2"/>
  <c r="P107" i="2"/>
  <c r="R105" i="2"/>
  <c r="T103" i="2"/>
  <c r="O101" i="2"/>
  <c r="I99" i="2"/>
  <c r="M96" i="2"/>
  <c r="F93" i="2"/>
  <c r="I90" i="2"/>
  <c r="H105" i="2"/>
  <c r="G100" i="2"/>
  <c r="S96" i="2"/>
  <c r="L93" i="2"/>
  <c r="E90" i="2"/>
  <c r="K106" i="2"/>
  <c r="D103" i="2"/>
  <c r="O108" i="2"/>
  <c r="E107" i="2"/>
  <c r="G105" i="2"/>
  <c r="B103" i="2"/>
  <c r="D101" i="2"/>
  <c r="L98" i="2"/>
  <c r="E95" i="2"/>
  <c r="I92" i="2"/>
  <c r="O100" i="2"/>
  <c r="H97" i="2"/>
  <c r="I95" i="2"/>
  <c r="T93" i="2"/>
  <c r="B92" i="2"/>
  <c r="M90" i="2"/>
  <c r="H99" i="2"/>
  <c r="D93" i="2"/>
  <c r="D108" i="2"/>
  <c r="Q106" i="2"/>
  <c r="D105" i="2"/>
  <c r="P103" i="2"/>
  <c r="H102" i="2"/>
  <c r="N100" i="2"/>
  <c r="F99" i="2"/>
  <c r="R97" i="2"/>
  <c r="E96" i="2"/>
  <c r="S93" i="2"/>
  <c r="N91" i="2"/>
  <c r="M95" i="2"/>
  <c r="K94" i="2"/>
  <c r="H93" i="2"/>
  <c r="F92" i="2"/>
  <c r="D91" i="2"/>
  <c r="B90" i="2"/>
  <c r="I101" i="2"/>
  <c r="P104" i="2"/>
  <c r="M101" i="2"/>
  <c r="D96" i="2"/>
  <c r="O103" i="2"/>
  <c r="T92" i="2"/>
  <c r="H92" i="2"/>
  <c r="O95" i="2"/>
  <c r="C99" i="2"/>
  <c r="G103" i="2"/>
  <c r="N106" i="2"/>
  <c r="L92" i="2"/>
  <c r="S95" i="2"/>
  <c r="G99" i="2"/>
  <c r="N102" i="2"/>
  <c r="B106" i="2"/>
  <c r="C108" i="2"/>
  <c r="L105" i="2"/>
  <c r="N103" i="2"/>
  <c r="E102" i="2"/>
  <c r="M100" i="2"/>
  <c r="H98" i="2"/>
  <c r="C96" i="2"/>
  <c r="R93" i="2"/>
  <c r="M91" i="2"/>
  <c r="I108" i="2"/>
  <c r="F105" i="2"/>
  <c r="B108" i="2"/>
  <c r="M106" i="2"/>
  <c r="C105" i="2"/>
  <c r="M103" i="2"/>
  <c r="D102" i="2"/>
  <c r="K100" i="2"/>
  <c r="G98" i="2"/>
  <c r="B96" i="2"/>
  <c r="P93" i="2"/>
  <c r="L91" i="2"/>
  <c r="M107" i="2"/>
  <c r="N104" i="2"/>
  <c r="G101" i="2"/>
  <c r="C98" i="2"/>
  <c r="Q95" i="2"/>
  <c r="B93" i="2"/>
  <c r="P90" i="2"/>
  <c r="T107" i="2"/>
  <c r="B105" i="2"/>
  <c r="I102" i="2"/>
  <c r="O94" i="2"/>
  <c r="R107" i="2"/>
  <c r="I106" i="2"/>
  <c r="S104" i="2"/>
  <c r="I103" i="2"/>
  <c r="S101" i="2"/>
  <c r="F100" i="2"/>
  <c r="T97" i="2"/>
  <c r="P95" i="2"/>
  <c r="K93" i="2"/>
  <c r="F91" i="2"/>
  <c r="E100" i="2"/>
  <c r="S97" i="2"/>
  <c r="F96" i="2"/>
  <c r="Q94" i="2"/>
  <c r="O93" i="2"/>
  <c r="G92" i="2"/>
  <c r="E91" i="2"/>
  <c r="C90" i="2"/>
  <c r="P98" i="2"/>
  <c r="T95" i="2"/>
  <c r="L108" i="2"/>
  <c r="N107" i="2"/>
  <c r="L106" i="2"/>
  <c r="J105" i="2"/>
  <c r="G104" i="2"/>
  <c r="E103" i="2"/>
  <c r="C102" i="2"/>
  <c r="S100" i="2"/>
  <c r="Q99" i="2"/>
  <c r="O98" i="2"/>
  <c r="L97" i="2"/>
  <c r="J96" i="2"/>
  <c r="H95" i="2"/>
  <c r="E94" i="2"/>
  <c r="C93" i="2"/>
  <c r="T91" i="2"/>
  <c r="V28" i="4" l="1"/>
  <c r="V27" i="4" s="1"/>
  <c r="V56" i="4" s="1"/>
  <c r="G36" i="4"/>
  <c r="H37" i="4"/>
  <c r="I26" i="1" a="1"/>
  <c r="I26" i="1" s="1"/>
  <c r="I55" i="1" s="1"/>
  <c r="W28" i="4" l="1"/>
  <c r="W27" i="4" s="1"/>
  <c r="W56" i="4" s="1"/>
  <c r="G35" i="4"/>
  <c r="H36" i="4"/>
  <c r="U26" i="1"/>
  <c r="U55" i="1" s="1"/>
  <c r="Y26" i="1"/>
  <c r="Y55" i="1" s="1"/>
  <c r="W26" i="1"/>
  <c r="W55" i="1" s="1"/>
  <c r="N26" i="1"/>
  <c r="N55" i="1" s="1"/>
  <c r="L26" i="1"/>
  <c r="L55" i="1" s="1"/>
  <c r="V26" i="1"/>
  <c r="V55" i="1" s="1"/>
  <c r="Z26" i="1"/>
  <c r="Z55" i="1" s="1"/>
  <c r="K26" i="1"/>
  <c r="K55" i="1" s="1"/>
  <c r="M26" i="1"/>
  <c r="M55" i="1" s="1"/>
  <c r="J26" i="1"/>
  <c r="J55" i="1" s="1"/>
  <c r="S26" i="1"/>
  <c r="S55" i="1" s="1"/>
  <c r="T26" i="1"/>
  <c r="T55" i="1" s="1"/>
  <c r="AA26" i="1"/>
  <c r="AA55" i="1" s="1"/>
  <c r="O26" i="1"/>
  <c r="O55" i="1" s="1"/>
  <c r="R26" i="1"/>
  <c r="R55" i="1" s="1"/>
  <c r="P26" i="1"/>
  <c r="P55" i="1" s="1"/>
  <c r="Q26" i="1"/>
  <c r="Q55" i="1" s="1"/>
  <c r="X26" i="1"/>
  <c r="X55" i="1" s="1"/>
  <c r="G34" i="4" l="1"/>
  <c r="H35" i="4"/>
  <c r="X28" i="4"/>
  <c r="X27" i="4" s="1"/>
  <c r="X56" i="4" s="1"/>
  <c r="I25" i="1" a="1"/>
  <c r="V25" i="1" s="1"/>
  <c r="V54" i="1" s="1"/>
  <c r="Y28" i="4" l="1"/>
  <c r="Y27" i="4" s="1"/>
  <c r="Y56" i="4" s="1"/>
  <c r="G33" i="4"/>
  <c r="H34" i="4"/>
  <c r="K25" i="1"/>
  <c r="K54" i="1" s="1"/>
  <c r="R25" i="1"/>
  <c r="R54" i="1" s="1"/>
  <c r="O25" i="1"/>
  <c r="O54" i="1" s="1"/>
  <c r="S25" i="1"/>
  <c r="S54" i="1" s="1"/>
  <c r="T25" i="1"/>
  <c r="T54" i="1" s="1"/>
  <c r="N25" i="1"/>
  <c r="N54" i="1" s="1"/>
  <c r="X25" i="1"/>
  <c r="X54" i="1" s="1"/>
  <c r="U25" i="1"/>
  <c r="U54" i="1" s="1"/>
  <c r="I25" i="1"/>
  <c r="I54" i="1" s="1"/>
  <c r="M25" i="1"/>
  <c r="M54" i="1" s="1"/>
  <c r="Q25" i="1"/>
  <c r="Q54" i="1" s="1"/>
  <c r="AA25" i="1"/>
  <c r="AA54" i="1" s="1"/>
  <c r="L25" i="1"/>
  <c r="L54" i="1" s="1"/>
  <c r="Y25" i="1"/>
  <c r="Y54" i="1" s="1"/>
  <c r="P25" i="1"/>
  <c r="P54" i="1" s="1"/>
  <c r="W25" i="1"/>
  <c r="W54" i="1" s="1"/>
  <c r="Z25" i="1"/>
  <c r="Z54" i="1" s="1"/>
  <c r="J25" i="1"/>
  <c r="J54" i="1" s="1"/>
  <c r="H33" i="4" l="1"/>
  <c r="G32" i="4"/>
  <c r="Z28" i="4"/>
  <c r="Z27" i="4" s="1"/>
  <c r="Z56" i="4" s="1"/>
  <c r="I24" i="1" a="1"/>
  <c r="AA24" i="1" s="1"/>
  <c r="AA53" i="1" s="1"/>
  <c r="AA28" i="4" l="1"/>
  <c r="H32" i="4"/>
  <c r="K24" i="1"/>
  <c r="K53" i="1" s="1"/>
  <c r="Q24" i="1"/>
  <c r="Q53" i="1" s="1"/>
  <c r="O24" i="1"/>
  <c r="O53" i="1" s="1"/>
  <c r="Z24" i="1"/>
  <c r="Z53" i="1" s="1"/>
  <c r="T24" i="1"/>
  <c r="T53" i="1" s="1"/>
  <c r="X24" i="1"/>
  <c r="X53" i="1" s="1"/>
  <c r="V24" i="1"/>
  <c r="V53" i="1" s="1"/>
  <c r="W24" i="1"/>
  <c r="W53" i="1" s="1"/>
  <c r="P24" i="1"/>
  <c r="P53" i="1" s="1"/>
  <c r="N24" i="1"/>
  <c r="N53" i="1" s="1"/>
  <c r="L24" i="1"/>
  <c r="L53" i="1" s="1"/>
  <c r="S24" i="1"/>
  <c r="S53" i="1" s="1"/>
  <c r="Y24" i="1"/>
  <c r="Y53" i="1" s="1"/>
  <c r="J24" i="1"/>
  <c r="J53" i="1" s="1"/>
  <c r="M24" i="1"/>
  <c r="M53" i="1" s="1"/>
  <c r="I24" i="1"/>
  <c r="U24" i="1"/>
  <c r="U53" i="1" s="1"/>
  <c r="R24" i="1"/>
  <c r="R53" i="1" s="1"/>
  <c r="AB28" i="4" l="1"/>
  <c r="AA27" i="4"/>
  <c r="I23" i="1" a="1"/>
  <c r="I23" i="1" s="1"/>
  <c r="I52" i="1" s="1"/>
  <c r="I53" i="1"/>
  <c r="AB4" i="4" l="1"/>
  <c r="A65" i="5" s="1"/>
  <c r="AB8" i="4"/>
  <c r="A69" i="5" s="1"/>
  <c r="AB12" i="4"/>
  <c r="A73" i="5" s="1"/>
  <c r="AB17" i="4"/>
  <c r="A78" i="5" s="1"/>
  <c r="AB21" i="4"/>
  <c r="A82" i="5" s="1"/>
  <c r="AB25" i="4"/>
  <c r="A86" i="5" s="1"/>
  <c r="AB14" i="4"/>
  <c r="A75" i="5" s="1"/>
  <c r="AB6" i="4"/>
  <c r="A67" i="5" s="1"/>
  <c r="AB15" i="4"/>
  <c r="A76" i="5" s="1"/>
  <c r="AB23" i="4"/>
  <c r="A84" i="5" s="1"/>
  <c r="AB16" i="4"/>
  <c r="A77" i="5" s="1"/>
  <c r="AB5" i="4"/>
  <c r="A66" i="5" s="1"/>
  <c r="T66" i="5" s="1"/>
  <c r="AB9" i="4"/>
  <c r="A70" i="5" s="1"/>
  <c r="AB13" i="4"/>
  <c r="A74" i="5" s="1"/>
  <c r="AB18" i="4"/>
  <c r="A79" i="5" s="1"/>
  <c r="AB22" i="4"/>
  <c r="A83" i="5" s="1"/>
  <c r="T83" i="5" s="1"/>
  <c r="AB26" i="4"/>
  <c r="A87" i="5" s="1"/>
  <c r="AB10" i="4"/>
  <c r="A71" i="5" s="1"/>
  <c r="AB19" i="4"/>
  <c r="A80" i="5" s="1"/>
  <c r="T80" i="5" s="1"/>
  <c r="AB3" i="4"/>
  <c r="AB7" i="4"/>
  <c r="A68" i="5" s="1"/>
  <c r="AB11" i="4"/>
  <c r="A72" i="5" s="1"/>
  <c r="T72" i="5" s="1"/>
  <c r="AB20" i="4"/>
  <c r="A81" i="5" s="1"/>
  <c r="T81" i="5" s="1"/>
  <c r="AB24" i="4"/>
  <c r="A85" i="5" s="1"/>
  <c r="AA56" i="4"/>
  <c r="AB50" i="4"/>
  <c r="AB52" i="4"/>
  <c r="AB44" i="4"/>
  <c r="AB39" i="4"/>
  <c r="AB37" i="4"/>
  <c r="AB33" i="4"/>
  <c r="AB54" i="4"/>
  <c r="AB49" i="4"/>
  <c r="AB40" i="4"/>
  <c r="AB38" i="4"/>
  <c r="AB36" i="4"/>
  <c r="AB27" i="4"/>
  <c r="AB43" i="4"/>
  <c r="AB55" i="4"/>
  <c r="X23" i="1"/>
  <c r="X52" i="1" s="1"/>
  <c r="V23" i="1"/>
  <c r="V52" i="1" s="1"/>
  <c r="N23" i="1"/>
  <c r="N52" i="1" s="1"/>
  <c r="Q23" i="1"/>
  <c r="Q52" i="1" s="1"/>
  <c r="AA23" i="1"/>
  <c r="AA52" i="1" s="1"/>
  <c r="R23" i="1"/>
  <c r="R52" i="1" s="1"/>
  <c r="W23" i="1"/>
  <c r="W52" i="1" s="1"/>
  <c r="Z23" i="1"/>
  <c r="Z52" i="1" s="1"/>
  <c r="J23" i="1"/>
  <c r="J52" i="1" s="1"/>
  <c r="M23" i="1"/>
  <c r="M52" i="1" s="1"/>
  <c r="K23" i="1"/>
  <c r="K52" i="1" s="1"/>
  <c r="Y23" i="1"/>
  <c r="Y52" i="1" s="1"/>
  <c r="O23" i="1"/>
  <c r="O52" i="1" s="1"/>
  <c r="L23" i="1"/>
  <c r="L52" i="1" s="1"/>
  <c r="S23" i="1"/>
  <c r="S52" i="1" s="1"/>
  <c r="T23" i="1"/>
  <c r="T52" i="1" s="1"/>
  <c r="P23" i="1"/>
  <c r="P52" i="1" s="1"/>
  <c r="U23" i="1"/>
  <c r="U52" i="1" s="1"/>
  <c r="AB47" i="4" l="1"/>
  <c r="AB41" i="4"/>
  <c r="AB45" i="4"/>
  <c r="AB48" i="4"/>
  <c r="T85" i="5"/>
  <c r="T78" i="5"/>
  <c r="T74" i="5"/>
  <c r="AB42" i="4"/>
  <c r="T87" i="5"/>
  <c r="T70" i="5"/>
  <c r="T76" i="5"/>
  <c r="T75" i="5"/>
  <c r="AB51" i="4"/>
  <c r="T79" i="5"/>
  <c r="T77" i="5"/>
  <c r="T73" i="5"/>
  <c r="A64" i="5"/>
  <c r="T65" i="5" s="1"/>
  <c r="AB32" i="4"/>
  <c r="T67" i="5"/>
  <c r="AB34" i="4"/>
  <c r="T71" i="5"/>
  <c r="T84" i="5"/>
  <c r="T86" i="5"/>
  <c r="T69" i="5"/>
  <c r="AB56" i="4"/>
  <c r="A88" i="5"/>
  <c r="T88" i="5" s="1"/>
  <c r="I26" i="4" s="1" a="1"/>
  <c r="AB46" i="4"/>
  <c r="AB35" i="4"/>
  <c r="AB53" i="4"/>
  <c r="T68" i="5"/>
  <c r="T82" i="5"/>
  <c r="I22" i="1" a="1"/>
  <c r="K22" i="1" s="1"/>
  <c r="K51" i="1" s="1"/>
  <c r="I26" i="4" l="1"/>
  <c r="J26" i="4"/>
  <c r="J55" i="4" s="1"/>
  <c r="X26" i="4"/>
  <c r="X55" i="4" s="1"/>
  <c r="P26" i="4"/>
  <c r="P55" i="4" s="1"/>
  <c r="O26" i="4"/>
  <c r="O55" i="4" s="1"/>
  <c r="T26" i="4"/>
  <c r="T55" i="4" s="1"/>
  <c r="M26" i="4"/>
  <c r="M55" i="4" s="1"/>
  <c r="AA26" i="4"/>
  <c r="AA55" i="4" s="1"/>
  <c r="S26" i="4"/>
  <c r="S55" i="4" s="1"/>
  <c r="R26" i="4"/>
  <c r="R55" i="4" s="1"/>
  <c r="W26" i="4"/>
  <c r="W55" i="4" s="1"/>
  <c r="L26" i="4"/>
  <c r="L55" i="4" s="1"/>
  <c r="K26" i="4"/>
  <c r="K55" i="4" s="1"/>
  <c r="V26" i="4"/>
  <c r="V55" i="4" s="1"/>
  <c r="Q26" i="4"/>
  <c r="Q55" i="4" s="1"/>
  <c r="Z26" i="4"/>
  <c r="Z55" i="4" s="1"/>
  <c r="U26" i="4"/>
  <c r="U55" i="4" s="1"/>
  <c r="N26" i="4"/>
  <c r="N55" i="4" s="1"/>
  <c r="Y26" i="4"/>
  <c r="Y55" i="4" s="1"/>
  <c r="V22" i="1"/>
  <c r="V51" i="1" s="1"/>
  <c r="AA22" i="1"/>
  <c r="AA51" i="1" s="1"/>
  <c r="N22" i="1"/>
  <c r="N51" i="1" s="1"/>
  <c r="O22" i="1"/>
  <c r="O51" i="1" s="1"/>
  <c r="Y22" i="1"/>
  <c r="Y51" i="1" s="1"/>
  <c r="I22" i="1"/>
  <c r="I51" i="1" s="1"/>
  <c r="Q22" i="1"/>
  <c r="Q51" i="1" s="1"/>
  <c r="S22" i="1"/>
  <c r="S51" i="1" s="1"/>
  <c r="R22" i="1"/>
  <c r="R51" i="1" s="1"/>
  <c r="X22" i="1"/>
  <c r="X51" i="1" s="1"/>
  <c r="Z22" i="1"/>
  <c r="Z51" i="1" s="1"/>
  <c r="U22" i="1"/>
  <c r="U51" i="1" s="1"/>
  <c r="P22" i="1"/>
  <c r="P51" i="1" s="1"/>
  <c r="T22" i="1"/>
  <c r="T51" i="1" s="1"/>
  <c r="J22" i="1"/>
  <c r="J51" i="1" s="1"/>
  <c r="W22" i="1"/>
  <c r="W51" i="1" s="1"/>
  <c r="L22" i="1"/>
  <c r="L51" i="1" s="1"/>
  <c r="M22" i="1"/>
  <c r="M51" i="1" s="1"/>
  <c r="I55" i="4"/>
  <c r="I25" i="4" l="1" a="1"/>
  <c r="I21" i="1" a="1"/>
  <c r="K21" i="1" s="1"/>
  <c r="K50" i="1" s="1"/>
  <c r="I25" i="4" l="1"/>
  <c r="L25" i="4"/>
  <c r="L54" i="4" s="1"/>
  <c r="U25" i="4"/>
  <c r="U54" i="4" s="1"/>
  <c r="R25" i="4"/>
  <c r="R54" i="4" s="1"/>
  <c r="AA25" i="4"/>
  <c r="AA54" i="4" s="1"/>
  <c r="Q25" i="4"/>
  <c r="Q54" i="4" s="1"/>
  <c r="W25" i="4"/>
  <c r="W54" i="4" s="1"/>
  <c r="S25" i="4"/>
  <c r="S54" i="4" s="1"/>
  <c r="K25" i="4"/>
  <c r="K54" i="4" s="1"/>
  <c r="J25" i="4"/>
  <c r="J54" i="4" s="1"/>
  <c r="P25" i="4"/>
  <c r="P54" i="4" s="1"/>
  <c r="Y25" i="4"/>
  <c r="Y54" i="4" s="1"/>
  <c r="V25" i="4"/>
  <c r="V54" i="4" s="1"/>
  <c r="O25" i="4"/>
  <c r="O54" i="4" s="1"/>
  <c r="Z25" i="4"/>
  <c r="Z54" i="4" s="1"/>
  <c r="M25" i="4"/>
  <c r="M54" i="4" s="1"/>
  <c r="N25" i="4"/>
  <c r="N54" i="4" s="1"/>
  <c r="X25" i="4"/>
  <c r="X54" i="4" s="1"/>
  <c r="T25" i="4"/>
  <c r="T54" i="4" s="1"/>
  <c r="W21" i="1"/>
  <c r="W50" i="1" s="1"/>
  <c r="Q21" i="1"/>
  <c r="Q50" i="1" s="1"/>
  <c r="Z21" i="1"/>
  <c r="Z50" i="1" s="1"/>
  <c r="V21" i="1"/>
  <c r="V50" i="1" s="1"/>
  <c r="L21" i="1"/>
  <c r="L50" i="1" s="1"/>
  <c r="I21" i="1"/>
  <c r="M21" i="1"/>
  <c r="M50" i="1" s="1"/>
  <c r="P21" i="1"/>
  <c r="P50" i="1" s="1"/>
  <c r="O21" i="1"/>
  <c r="O50" i="1" s="1"/>
  <c r="T21" i="1"/>
  <c r="T50" i="1" s="1"/>
  <c r="U21" i="1"/>
  <c r="U50" i="1" s="1"/>
  <c r="J21" i="1"/>
  <c r="J50" i="1" s="1"/>
  <c r="N21" i="1"/>
  <c r="N50" i="1" s="1"/>
  <c r="Y21" i="1"/>
  <c r="Y50" i="1" s="1"/>
  <c r="S21" i="1"/>
  <c r="S50" i="1" s="1"/>
  <c r="AA21" i="1"/>
  <c r="AA50" i="1" s="1"/>
  <c r="R21" i="1"/>
  <c r="R50" i="1" s="1"/>
  <c r="X21" i="1"/>
  <c r="X50" i="1" s="1"/>
  <c r="I54" i="4"/>
  <c r="I50" i="1"/>
  <c r="I24" i="4" l="1" a="1"/>
  <c r="I20" i="1" a="1"/>
  <c r="V20" i="1" s="1"/>
  <c r="V49" i="1" s="1"/>
  <c r="Q24" i="4" l="1"/>
  <c r="Q53" i="4" s="1"/>
  <c r="W24" i="4"/>
  <c r="W53" i="4" s="1"/>
  <c r="J24" i="4"/>
  <c r="J53" i="4" s="1"/>
  <c r="V24" i="4"/>
  <c r="V53" i="4" s="1"/>
  <c r="AA24" i="4"/>
  <c r="AA53" i="4" s="1"/>
  <c r="U24" i="4"/>
  <c r="U53" i="4" s="1"/>
  <c r="L24" i="4"/>
  <c r="L53" i="4" s="1"/>
  <c r="M24" i="4"/>
  <c r="M53" i="4" s="1"/>
  <c r="Y24" i="4"/>
  <c r="Y53" i="4" s="1"/>
  <c r="T24" i="4"/>
  <c r="T53" i="4" s="1"/>
  <c r="O24" i="4"/>
  <c r="O53" i="4" s="1"/>
  <c r="K24" i="4"/>
  <c r="K53" i="4" s="1"/>
  <c r="S24" i="4"/>
  <c r="S53" i="4" s="1"/>
  <c r="Z24" i="4"/>
  <c r="Z53" i="4" s="1"/>
  <c r="X24" i="4"/>
  <c r="X53" i="4" s="1"/>
  <c r="N24" i="4"/>
  <c r="N53" i="4" s="1"/>
  <c r="I24" i="4"/>
  <c r="P24" i="4"/>
  <c r="P53" i="4" s="1"/>
  <c r="R24" i="4"/>
  <c r="R53" i="4" s="1"/>
  <c r="AA20" i="1"/>
  <c r="AA49" i="1" s="1"/>
  <c r="N20" i="1"/>
  <c r="N49" i="1" s="1"/>
  <c r="Z20" i="1"/>
  <c r="Z49" i="1" s="1"/>
  <c r="S20" i="1"/>
  <c r="S49" i="1" s="1"/>
  <c r="Q20" i="1"/>
  <c r="Q49" i="1" s="1"/>
  <c r="L20" i="1"/>
  <c r="L49" i="1" s="1"/>
  <c r="O20" i="1"/>
  <c r="O49" i="1" s="1"/>
  <c r="W20" i="1"/>
  <c r="W49" i="1" s="1"/>
  <c r="M20" i="1"/>
  <c r="M49" i="1" s="1"/>
  <c r="T20" i="1"/>
  <c r="T49" i="1" s="1"/>
  <c r="J20" i="1"/>
  <c r="J49" i="1" s="1"/>
  <c r="X20" i="1"/>
  <c r="X49" i="1" s="1"/>
  <c r="R20" i="1"/>
  <c r="R49" i="1" s="1"/>
  <c r="P20" i="1"/>
  <c r="P49" i="1" s="1"/>
  <c r="U20" i="1"/>
  <c r="U49" i="1" s="1"/>
  <c r="I20" i="1"/>
  <c r="I49" i="1" s="1"/>
  <c r="Y20" i="1"/>
  <c r="Y49" i="1" s="1"/>
  <c r="K20" i="1"/>
  <c r="K49" i="1" s="1"/>
  <c r="I23" i="4" l="1" a="1"/>
  <c r="P23" i="4" s="1"/>
  <c r="P52" i="4" s="1"/>
  <c r="I53" i="4"/>
  <c r="I19" i="1" a="1"/>
  <c r="AA19" i="1" s="1"/>
  <c r="AA48" i="1" s="1"/>
  <c r="X23" i="4" l="1"/>
  <c r="X52" i="4" s="1"/>
  <c r="U23" i="4"/>
  <c r="U52" i="4" s="1"/>
  <c r="Q23" i="4"/>
  <c r="Q52" i="4" s="1"/>
  <c r="I23" i="4"/>
  <c r="I52" i="4" s="1"/>
  <c r="J23" i="4"/>
  <c r="J52" i="4" s="1"/>
  <c r="Z23" i="4"/>
  <c r="Z52" i="4" s="1"/>
  <c r="R23" i="4"/>
  <c r="R52" i="4" s="1"/>
  <c r="O23" i="4"/>
  <c r="O52" i="4" s="1"/>
  <c r="K23" i="4"/>
  <c r="K52" i="4" s="1"/>
  <c r="N23" i="4"/>
  <c r="N52" i="4" s="1"/>
  <c r="M23" i="4"/>
  <c r="M52" i="4" s="1"/>
  <c r="Y23" i="4"/>
  <c r="Y52" i="4" s="1"/>
  <c r="T23" i="4"/>
  <c r="T52" i="4" s="1"/>
  <c r="AA23" i="4"/>
  <c r="AA52" i="4" s="1"/>
  <c r="W23" i="4"/>
  <c r="W52" i="4" s="1"/>
  <c r="L23" i="4"/>
  <c r="L52" i="4" s="1"/>
  <c r="V23" i="4"/>
  <c r="V52" i="4" s="1"/>
  <c r="S23" i="4"/>
  <c r="S52" i="4" s="1"/>
  <c r="K19" i="1"/>
  <c r="K48" i="1" s="1"/>
  <c r="J19" i="1"/>
  <c r="J48" i="1" s="1"/>
  <c r="Y19" i="1"/>
  <c r="Y48" i="1" s="1"/>
  <c r="V19" i="1"/>
  <c r="V48" i="1" s="1"/>
  <c r="P19" i="1"/>
  <c r="P48" i="1" s="1"/>
  <c r="Z19" i="1"/>
  <c r="Z48" i="1" s="1"/>
  <c r="W19" i="1"/>
  <c r="W48" i="1" s="1"/>
  <c r="Q19" i="1"/>
  <c r="Q48" i="1" s="1"/>
  <c r="R19" i="1"/>
  <c r="R48" i="1" s="1"/>
  <c r="I19" i="1"/>
  <c r="I48" i="1" s="1"/>
  <c r="U19" i="1"/>
  <c r="U48" i="1" s="1"/>
  <c r="X19" i="1"/>
  <c r="X48" i="1" s="1"/>
  <c r="N19" i="1"/>
  <c r="N48" i="1" s="1"/>
  <c r="T19" i="1"/>
  <c r="T48" i="1" s="1"/>
  <c r="M19" i="1"/>
  <c r="M48" i="1" s="1"/>
  <c r="S19" i="1"/>
  <c r="S48" i="1" s="1"/>
  <c r="L19" i="1"/>
  <c r="L48" i="1" s="1"/>
  <c r="O19" i="1"/>
  <c r="O48" i="1" s="1"/>
  <c r="I22" i="4" l="1" a="1"/>
  <c r="I18" i="1" a="1"/>
  <c r="V18" i="1" s="1"/>
  <c r="V47" i="1" s="1"/>
  <c r="L22" i="4" l="1"/>
  <c r="L51" i="4" s="1"/>
  <c r="O22" i="4"/>
  <c r="O51" i="4" s="1"/>
  <c r="V22" i="4"/>
  <c r="V51" i="4" s="1"/>
  <c r="P22" i="4"/>
  <c r="P51" i="4" s="1"/>
  <c r="J22" i="4"/>
  <c r="J51" i="4" s="1"/>
  <c r="Z22" i="4"/>
  <c r="Z51" i="4" s="1"/>
  <c r="M22" i="4"/>
  <c r="M51" i="4" s="1"/>
  <c r="X22" i="4"/>
  <c r="X51" i="4" s="1"/>
  <c r="Q22" i="4"/>
  <c r="Q51" i="4" s="1"/>
  <c r="I22" i="4"/>
  <c r="W22" i="4"/>
  <c r="W51" i="4" s="1"/>
  <c r="AA22" i="4"/>
  <c r="AA51" i="4" s="1"/>
  <c r="R22" i="4"/>
  <c r="R51" i="4" s="1"/>
  <c r="T22" i="4"/>
  <c r="T51" i="4" s="1"/>
  <c r="S22" i="4"/>
  <c r="S51" i="4" s="1"/>
  <c r="K22" i="4"/>
  <c r="K51" i="4" s="1"/>
  <c r="U22" i="4"/>
  <c r="U51" i="4" s="1"/>
  <c r="Y22" i="4"/>
  <c r="Y51" i="4" s="1"/>
  <c r="N22" i="4"/>
  <c r="N51" i="4" s="1"/>
  <c r="Q18" i="1"/>
  <c r="Q47" i="1" s="1"/>
  <c r="M18" i="1"/>
  <c r="M47" i="1" s="1"/>
  <c r="W18" i="1"/>
  <c r="W47" i="1" s="1"/>
  <c r="X18" i="1"/>
  <c r="X47" i="1" s="1"/>
  <c r="Z18" i="1"/>
  <c r="Z47" i="1" s="1"/>
  <c r="N18" i="1"/>
  <c r="N47" i="1" s="1"/>
  <c r="T18" i="1"/>
  <c r="T47" i="1" s="1"/>
  <c r="P18" i="1"/>
  <c r="P47" i="1" s="1"/>
  <c r="L18" i="1"/>
  <c r="L47" i="1" s="1"/>
  <c r="U18" i="1"/>
  <c r="U47" i="1" s="1"/>
  <c r="R18" i="1"/>
  <c r="R47" i="1" s="1"/>
  <c r="J18" i="1"/>
  <c r="J47" i="1" s="1"/>
  <c r="S18" i="1"/>
  <c r="S47" i="1" s="1"/>
  <c r="I18" i="1"/>
  <c r="I47" i="1" s="1"/>
  <c r="K18" i="1"/>
  <c r="K47" i="1" s="1"/>
  <c r="AA18" i="1"/>
  <c r="AA47" i="1" s="1"/>
  <c r="Y18" i="1"/>
  <c r="Y47" i="1" s="1"/>
  <c r="O18" i="1"/>
  <c r="O47" i="1" s="1"/>
  <c r="I51" i="4"/>
  <c r="I21" i="4" l="1" a="1"/>
  <c r="I17" i="1" a="1"/>
  <c r="AA17" i="1" s="1"/>
  <c r="AA46" i="1" s="1"/>
  <c r="N21" i="4" l="1"/>
  <c r="N50" i="4" s="1"/>
  <c r="S21" i="4"/>
  <c r="S50" i="4" s="1"/>
  <c r="L21" i="4"/>
  <c r="L50" i="4" s="1"/>
  <c r="W21" i="4"/>
  <c r="W50" i="4" s="1"/>
  <c r="M21" i="4"/>
  <c r="M50" i="4" s="1"/>
  <c r="Z21" i="4"/>
  <c r="Z50" i="4" s="1"/>
  <c r="R21" i="4"/>
  <c r="R50" i="4" s="1"/>
  <c r="Y21" i="4"/>
  <c r="Y50" i="4" s="1"/>
  <c r="X21" i="4"/>
  <c r="X50" i="4" s="1"/>
  <c r="Q21" i="4"/>
  <c r="Q50" i="4" s="1"/>
  <c r="O21" i="4"/>
  <c r="O50" i="4" s="1"/>
  <c r="U21" i="4"/>
  <c r="U50" i="4" s="1"/>
  <c r="P21" i="4"/>
  <c r="P50" i="4" s="1"/>
  <c r="AA21" i="4"/>
  <c r="AA50" i="4" s="1"/>
  <c r="K21" i="4"/>
  <c r="K50" i="4" s="1"/>
  <c r="V21" i="4"/>
  <c r="V50" i="4" s="1"/>
  <c r="I21" i="4"/>
  <c r="T21" i="4"/>
  <c r="T50" i="4" s="1"/>
  <c r="J21" i="4"/>
  <c r="J50" i="4" s="1"/>
  <c r="P17" i="1"/>
  <c r="P46" i="1" s="1"/>
  <c r="S17" i="1"/>
  <c r="S46" i="1" s="1"/>
  <c r="K17" i="1"/>
  <c r="K46" i="1" s="1"/>
  <c r="N17" i="1"/>
  <c r="N46" i="1" s="1"/>
  <c r="I17" i="1"/>
  <c r="I46" i="1" s="1"/>
  <c r="L17" i="1"/>
  <c r="L46" i="1" s="1"/>
  <c r="M17" i="1"/>
  <c r="M46" i="1" s="1"/>
  <c r="X17" i="1"/>
  <c r="X46" i="1" s="1"/>
  <c r="Z17" i="1"/>
  <c r="Z46" i="1" s="1"/>
  <c r="V17" i="1"/>
  <c r="V46" i="1" s="1"/>
  <c r="Y17" i="1"/>
  <c r="Y46" i="1" s="1"/>
  <c r="U17" i="1"/>
  <c r="U46" i="1" s="1"/>
  <c r="R17" i="1"/>
  <c r="R46" i="1" s="1"/>
  <c r="T17" i="1"/>
  <c r="T46" i="1" s="1"/>
  <c r="W17" i="1"/>
  <c r="W46" i="1" s="1"/>
  <c r="J17" i="1"/>
  <c r="J46" i="1" s="1"/>
  <c r="Q17" i="1"/>
  <c r="Q46" i="1" s="1"/>
  <c r="O17" i="1"/>
  <c r="O46" i="1" s="1"/>
  <c r="I50" i="4"/>
  <c r="I16" i="1" l="1" a="1"/>
  <c r="K16" i="1" s="1"/>
  <c r="K45" i="1" s="1"/>
  <c r="I20" i="4" a="1"/>
  <c r="AA16" i="1" l="1"/>
  <c r="AA45" i="1" s="1"/>
  <c r="M16" i="1"/>
  <c r="M45" i="1" s="1"/>
  <c r="R16" i="1"/>
  <c r="R45" i="1" s="1"/>
  <c r="X16" i="1"/>
  <c r="X45" i="1" s="1"/>
  <c r="L16" i="1"/>
  <c r="L45" i="1" s="1"/>
  <c r="Q16" i="1"/>
  <c r="Q45" i="1" s="1"/>
  <c r="W16" i="1"/>
  <c r="W45" i="1" s="1"/>
  <c r="Z16" i="1"/>
  <c r="Z45" i="1" s="1"/>
  <c r="O16" i="1"/>
  <c r="O45" i="1" s="1"/>
  <c r="N16" i="1"/>
  <c r="N45" i="1" s="1"/>
  <c r="U16" i="1"/>
  <c r="U45" i="1" s="1"/>
  <c r="J16" i="1"/>
  <c r="J45" i="1" s="1"/>
  <c r="S16" i="1"/>
  <c r="S45" i="1" s="1"/>
  <c r="P16" i="1"/>
  <c r="P45" i="1" s="1"/>
  <c r="Y16" i="1"/>
  <c r="Y45" i="1" s="1"/>
  <c r="I16" i="1"/>
  <c r="I45" i="1" s="1"/>
  <c r="V16" i="1"/>
  <c r="V45" i="1" s="1"/>
  <c r="T16" i="1"/>
  <c r="T45" i="1" s="1"/>
  <c r="J20" i="4"/>
  <c r="J49" i="4" s="1"/>
  <c r="Q20" i="4"/>
  <c r="Q49" i="4" s="1"/>
  <c r="S20" i="4"/>
  <c r="S49" i="4" s="1"/>
  <c r="O20" i="4"/>
  <c r="O49" i="4" s="1"/>
  <c r="AA20" i="4"/>
  <c r="AA49" i="4" s="1"/>
  <c r="P20" i="4"/>
  <c r="P49" i="4" s="1"/>
  <c r="T20" i="4"/>
  <c r="T49" i="4" s="1"/>
  <c r="V20" i="4"/>
  <c r="V49" i="4" s="1"/>
  <c r="N20" i="4"/>
  <c r="N49" i="4" s="1"/>
  <c r="K20" i="4"/>
  <c r="K49" i="4" s="1"/>
  <c r="Z20" i="4"/>
  <c r="Z49" i="4" s="1"/>
  <c r="X20" i="4"/>
  <c r="X49" i="4" s="1"/>
  <c r="R20" i="4"/>
  <c r="R49" i="4" s="1"/>
  <c r="M20" i="4"/>
  <c r="M49" i="4" s="1"/>
  <c r="L20" i="4"/>
  <c r="L49" i="4" s="1"/>
  <c r="I20" i="4"/>
  <c r="Y20" i="4"/>
  <c r="Y49" i="4" s="1"/>
  <c r="W20" i="4"/>
  <c r="W49" i="4" s="1"/>
  <c r="U20" i="4"/>
  <c r="U49" i="4" s="1"/>
  <c r="I15" i="1" l="1" a="1"/>
  <c r="T15" i="1" s="1"/>
  <c r="T44" i="1" s="1"/>
  <c r="I19" i="4" a="1"/>
  <c r="I49" i="4"/>
  <c r="I19" i="4"/>
  <c r="J19" i="4"/>
  <c r="J48" i="4" s="1"/>
  <c r="M19" i="4"/>
  <c r="M48" i="4" s="1"/>
  <c r="AA19" i="4"/>
  <c r="L19" i="4"/>
  <c r="L48" i="4" s="1"/>
  <c r="X19" i="4"/>
  <c r="W19" i="4"/>
  <c r="W48" i="4" s="1"/>
  <c r="R19" i="4"/>
  <c r="O19" i="4"/>
  <c r="U19" i="4"/>
  <c r="U48" i="4" s="1"/>
  <c r="Z19" i="4"/>
  <c r="Z48" i="4" s="1"/>
  <c r="Q19" i="4"/>
  <c r="S19" i="4"/>
  <c r="S48" i="4" s="1"/>
  <c r="K19" i="4"/>
  <c r="K48" i="4" s="1"/>
  <c r="Y19" i="4"/>
  <c r="Y48" i="4" s="1"/>
  <c r="T19" i="4"/>
  <c r="V19" i="4"/>
  <c r="V48" i="4" s="1"/>
  <c r="N19" i="4"/>
  <c r="N48" i="4" s="1"/>
  <c r="P19" i="4"/>
  <c r="P48" i="4" s="1"/>
  <c r="O15" i="1"/>
  <c r="O44" i="1" s="1"/>
  <c r="W15" i="1"/>
  <c r="W44" i="1" s="1"/>
  <c r="Y15" i="1"/>
  <c r="Y44" i="1" s="1"/>
  <c r="M15" i="1"/>
  <c r="M44" i="1" s="1"/>
  <c r="X15" i="1"/>
  <c r="X44" i="1" s="1"/>
  <c r="I15" i="1"/>
  <c r="AA15" i="1"/>
  <c r="AA44" i="1" s="1"/>
  <c r="L15" i="1"/>
  <c r="L44" i="1" s="1"/>
  <c r="P15" i="1"/>
  <c r="P44" i="1" s="1"/>
  <c r="U15" i="1"/>
  <c r="U44" i="1" s="1"/>
  <c r="Z15" i="1"/>
  <c r="Z44" i="1" s="1"/>
  <c r="K15" i="1"/>
  <c r="K44" i="1" s="1"/>
  <c r="S15" i="1"/>
  <c r="S44" i="1" s="1"/>
  <c r="Q15" i="1"/>
  <c r="Q44" i="1" s="1"/>
  <c r="V15" i="1"/>
  <c r="V44" i="1" s="1"/>
  <c r="R15" i="1"/>
  <c r="R44" i="1" s="1"/>
  <c r="J15" i="1"/>
  <c r="J44" i="1" s="1"/>
  <c r="N15" i="1"/>
  <c r="N44" i="1" s="1"/>
  <c r="X48" i="4"/>
  <c r="T48" i="4"/>
  <c r="AA48" i="4"/>
  <c r="O48" i="4"/>
  <c r="R48" i="4"/>
  <c r="Q48" i="4"/>
  <c r="I44" i="1"/>
  <c r="I18" i="4" l="1" a="1"/>
  <c r="I14" i="1" a="1"/>
  <c r="Z14" i="1" s="1"/>
  <c r="Z43" i="1" s="1"/>
  <c r="I48" i="4"/>
  <c r="K18" i="4" l="1"/>
  <c r="O18" i="4"/>
  <c r="L18" i="4"/>
  <c r="L47" i="4" s="1"/>
  <c r="T18" i="4"/>
  <c r="T47" i="4" s="1"/>
  <c r="Y18" i="4"/>
  <c r="V18" i="4"/>
  <c r="X18" i="4"/>
  <c r="X47" i="4" s="1"/>
  <c r="U18" i="4"/>
  <c r="U47" i="4" s="1"/>
  <c r="N18" i="4"/>
  <c r="AA18" i="4"/>
  <c r="M18" i="4"/>
  <c r="P18" i="4"/>
  <c r="P47" i="4" s="1"/>
  <c r="I18" i="4"/>
  <c r="R18" i="4"/>
  <c r="Q18" i="4"/>
  <c r="Q47" i="4" s="1"/>
  <c r="Z18" i="4"/>
  <c r="Z47" i="4" s="1"/>
  <c r="J18" i="4"/>
  <c r="S18" i="4"/>
  <c r="W18" i="4"/>
  <c r="R14" i="1"/>
  <c r="R43" i="1" s="1"/>
  <c r="S14" i="1"/>
  <c r="S43" i="1" s="1"/>
  <c r="L14" i="1"/>
  <c r="L43" i="1" s="1"/>
  <c r="J14" i="1"/>
  <c r="J43" i="1" s="1"/>
  <c r="K14" i="1"/>
  <c r="K43" i="1" s="1"/>
  <c r="U14" i="1"/>
  <c r="U43" i="1" s="1"/>
  <c r="O14" i="1"/>
  <c r="O43" i="1" s="1"/>
  <c r="Q14" i="1"/>
  <c r="Q43" i="1" s="1"/>
  <c r="N14" i="1"/>
  <c r="N43" i="1" s="1"/>
  <c r="T14" i="1"/>
  <c r="T43" i="1" s="1"/>
  <c r="X14" i="1"/>
  <c r="X43" i="1" s="1"/>
  <c r="W14" i="1"/>
  <c r="W43" i="1" s="1"/>
  <c r="M14" i="1"/>
  <c r="M43" i="1" s="1"/>
  <c r="Y14" i="1"/>
  <c r="Y43" i="1" s="1"/>
  <c r="AA14" i="1"/>
  <c r="AA43" i="1" s="1"/>
  <c r="I14" i="1"/>
  <c r="I43" i="1" s="1"/>
  <c r="P14" i="1"/>
  <c r="P43" i="1" s="1"/>
  <c r="V14" i="1"/>
  <c r="V43" i="1" s="1"/>
  <c r="AA47" i="4"/>
  <c r="W47" i="4"/>
  <c r="S47" i="4"/>
  <c r="O47" i="4"/>
  <c r="K47" i="4"/>
  <c r="V47" i="4"/>
  <c r="R47" i="4"/>
  <c r="N47" i="4"/>
  <c r="J47" i="4"/>
  <c r="Y47" i="4"/>
  <c r="M47" i="4"/>
  <c r="I13" i="1" l="1" a="1"/>
  <c r="I17" i="4" a="1"/>
  <c r="I47" i="4"/>
  <c r="Y13" i="1"/>
  <c r="Y42" i="1" s="1"/>
  <c r="K13" i="1"/>
  <c r="K42" i="1" s="1"/>
  <c r="M13" i="1"/>
  <c r="M42" i="1" s="1"/>
  <c r="V13" i="1"/>
  <c r="V42" i="1" s="1"/>
  <c r="O13" i="1"/>
  <c r="O42" i="1" s="1"/>
  <c r="Z13" i="1"/>
  <c r="Z42" i="1" s="1"/>
  <c r="AA13" i="1"/>
  <c r="AA42" i="1" s="1"/>
  <c r="Q13" i="1"/>
  <c r="Q42" i="1" s="1"/>
  <c r="X13" i="1"/>
  <c r="X42" i="1" s="1"/>
  <c r="L13" i="1"/>
  <c r="L42" i="1" s="1"/>
  <c r="W13" i="1"/>
  <c r="W42" i="1" s="1"/>
  <c r="T13" i="1"/>
  <c r="T42" i="1" s="1"/>
  <c r="J13" i="1"/>
  <c r="J42" i="1" s="1"/>
  <c r="U13" i="1"/>
  <c r="U42" i="1" s="1"/>
  <c r="R13" i="1"/>
  <c r="R42" i="1" s="1"/>
  <c r="P13" i="1"/>
  <c r="P42" i="1" s="1"/>
  <c r="S13" i="1"/>
  <c r="S42" i="1" s="1"/>
  <c r="N13" i="1"/>
  <c r="N42" i="1" s="1"/>
  <c r="I13" i="1"/>
  <c r="O17" i="4" l="1"/>
  <c r="X17" i="4"/>
  <c r="AA17" i="4"/>
  <c r="AA46" i="4" s="1"/>
  <c r="P17" i="4"/>
  <c r="P46" i="4" s="1"/>
  <c r="M17" i="4"/>
  <c r="S17" i="4"/>
  <c r="T17" i="4"/>
  <c r="T46" i="4" s="1"/>
  <c r="Y17" i="4"/>
  <c r="Y46" i="4" s="1"/>
  <c r="Q17" i="4"/>
  <c r="R17" i="4"/>
  <c r="R46" i="4" s="1"/>
  <c r="V17" i="4"/>
  <c r="V46" i="4" s="1"/>
  <c r="K17" i="4"/>
  <c r="K46" i="4" s="1"/>
  <c r="Z17" i="4"/>
  <c r="L17" i="4"/>
  <c r="L46" i="4" s="1"/>
  <c r="W17" i="4"/>
  <c r="W46" i="4" s="1"/>
  <c r="N17" i="4"/>
  <c r="N46" i="4" s="1"/>
  <c r="J17" i="4"/>
  <c r="U17" i="4"/>
  <c r="U46" i="4" s="1"/>
  <c r="I17" i="4"/>
  <c r="I16" i="4" s="1" a="1"/>
  <c r="Z46" i="4"/>
  <c r="J46" i="4"/>
  <c r="Q46" i="4"/>
  <c r="M46" i="4"/>
  <c r="X46" i="4"/>
  <c r="O46" i="4"/>
  <c r="S46" i="4"/>
  <c r="I42" i="1"/>
  <c r="I12" i="1" a="1"/>
  <c r="Q16" i="4" l="1"/>
  <c r="V16" i="4"/>
  <c r="J16" i="4"/>
  <c r="I16" i="4"/>
  <c r="I15" i="4" s="1" a="1"/>
  <c r="R16" i="4"/>
  <c r="Z16" i="4"/>
  <c r="AA16" i="4"/>
  <c r="O16" i="4"/>
  <c r="K16" i="4"/>
  <c r="S16" i="4"/>
  <c r="X16" i="4"/>
  <c r="W16" i="4"/>
  <c r="P16" i="4"/>
  <c r="U16" i="4"/>
  <c r="M16" i="4"/>
  <c r="N16" i="4"/>
  <c r="Y16" i="4"/>
  <c r="L16" i="4"/>
  <c r="T16" i="4"/>
  <c r="I46" i="4"/>
  <c r="V12" i="1"/>
  <c r="V41" i="1" s="1"/>
  <c r="R12" i="1"/>
  <c r="R41" i="1" s="1"/>
  <c r="Y12" i="1"/>
  <c r="Y41" i="1" s="1"/>
  <c r="K12" i="1"/>
  <c r="K41" i="1" s="1"/>
  <c r="Z12" i="1"/>
  <c r="Z41" i="1" s="1"/>
  <c r="O12" i="1"/>
  <c r="O41" i="1" s="1"/>
  <c r="T12" i="1"/>
  <c r="T41" i="1" s="1"/>
  <c r="L12" i="1"/>
  <c r="L41" i="1" s="1"/>
  <c r="W12" i="1"/>
  <c r="W41" i="1" s="1"/>
  <c r="Q12" i="1"/>
  <c r="Q41" i="1" s="1"/>
  <c r="U12" i="1"/>
  <c r="U41" i="1" s="1"/>
  <c r="I12" i="1"/>
  <c r="M12" i="1"/>
  <c r="M41" i="1" s="1"/>
  <c r="N12" i="1"/>
  <c r="N41" i="1" s="1"/>
  <c r="AA12" i="1"/>
  <c r="AA41" i="1" s="1"/>
  <c r="P12" i="1"/>
  <c r="P41" i="1" s="1"/>
  <c r="S12" i="1"/>
  <c r="S41" i="1" s="1"/>
  <c r="X12" i="1"/>
  <c r="X41" i="1" s="1"/>
  <c r="J12" i="1"/>
  <c r="J41" i="1" s="1"/>
  <c r="P15" i="4" l="1"/>
  <c r="N15" i="4"/>
  <c r="W15" i="4"/>
  <c r="L15" i="4"/>
  <c r="K15" i="4"/>
  <c r="AA15" i="4"/>
  <c r="M15" i="4"/>
  <c r="T15" i="4"/>
  <c r="Z15" i="4"/>
  <c r="U15" i="4"/>
  <c r="Q15" i="4"/>
  <c r="X15" i="4"/>
  <c r="J15" i="4"/>
  <c r="O15" i="4"/>
  <c r="V15" i="4"/>
  <c r="Y15" i="4"/>
  <c r="I15" i="4"/>
  <c r="R15" i="4"/>
  <c r="S15" i="4"/>
  <c r="Y45" i="4"/>
  <c r="U45" i="4"/>
  <c r="Q45" i="4"/>
  <c r="M45" i="4"/>
  <c r="X45" i="4"/>
  <c r="T45" i="4"/>
  <c r="P45" i="4"/>
  <c r="L45" i="4"/>
  <c r="AA45" i="4"/>
  <c r="W45" i="4"/>
  <c r="S45" i="4"/>
  <c r="O45" i="4"/>
  <c r="K45" i="4"/>
  <c r="V45" i="4"/>
  <c r="N45" i="4"/>
  <c r="R45" i="4"/>
  <c r="Z45" i="4"/>
  <c r="J45" i="4"/>
  <c r="I41" i="1"/>
  <c r="I11" i="1" a="1"/>
  <c r="I14" i="4" l="1" a="1"/>
  <c r="V14" i="4" s="1"/>
  <c r="I45" i="4"/>
  <c r="I11" i="1"/>
  <c r="N11" i="1"/>
  <c r="N40" i="1" s="1"/>
  <c r="AA11" i="1"/>
  <c r="AA40" i="1" s="1"/>
  <c r="L11" i="1"/>
  <c r="L40" i="1" s="1"/>
  <c r="Y11" i="1"/>
  <c r="Y40" i="1" s="1"/>
  <c r="X11" i="1"/>
  <c r="X40" i="1" s="1"/>
  <c r="Z11" i="1"/>
  <c r="Z40" i="1" s="1"/>
  <c r="V11" i="1"/>
  <c r="V40" i="1" s="1"/>
  <c r="P11" i="1"/>
  <c r="P40" i="1" s="1"/>
  <c r="J11" i="1"/>
  <c r="J40" i="1" s="1"/>
  <c r="M11" i="1"/>
  <c r="M40" i="1" s="1"/>
  <c r="T11" i="1"/>
  <c r="T40" i="1" s="1"/>
  <c r="O11" i="1"/>
  <c r="O40" i="1" s="1"/>
  <c r="R11" i="1"/>
  <c r="R40" i="1" s="1"/>
  <c r="W11" i="1"/>
  <c r="W40" i="1" s="1"/>
  <c r="Q11" i="1"/>
  <c r="Q40" i="1" s="1"/>
  <c r="S11" i="1"/>
  <c r="S40" i="1" s="1"/>
  <c r="U11" i="1"/>
  <c r="U40" i="1" s="1"/>
  <c r="K11" i="1"/>
  <c r="K40" i="1" s="1"/>
  <c r="L14" i="4" l="1"/>
  <c r="Y14" i="4"/>
  <c r="R14" i="4"/>
  <c r="X14" i="4"/>
  <c r="M14" i="4"/>
  <c r="AA14" i="4"/>
  <c r="O14" i="4"/>
  <c r="Q14" i="4"/>
  <c r="U14" i="4"/>
  <c r="I14" i="4"/>
  <c r="W14" i="4"/>
  <c r="K14" i="4"/>
  <c r="S14" i="4"/>
  <c r="Z14" i="4"/>
  <c r="N14" i="4"/>
  <c r="J14" i="4"/>
  <c r="P14" i="4"/>
  <c r="T14" i="4"/>
  <c r="X44" i="4"/>
  <c r="T44" i="4"/>
  <c r="P44" i="4"/>
  <c r="L44" i="4"/>
  <c r="AA44" i="4"/>
  <c r="W44" i="4"/>
  <c r="S44" i="4"/>
  <c r="O44" i="4"/>
  <c r="K44" i="4"/>
  <c r="Z44" i="4"/>
  <c r="V44" i="4"/>
  <c r="R44" i="4"/>
  <c r="N44" i="4"/>
  <c r="J44" i="4"/>
  <c r="M44" i="4"/>
  <c r="Y44" i="4"/>
  <c r="U44" i="4"/>
  <c r="Q44" i="4"/>
  <c r="I40" i="1"/>
  <c r="I10" i="1" a="1"/>
  <c r="I13" i="4" l="1" a="1"/>
  <c r="S13" i="4" s="1"/>
  <c r="I44" i="4"/>
  <c r="S10" i="1"/>
  <c r="S39" i="1" s="1"/>
  <c r="N10" i="1"/>
  <c r="N39" i="1" s="1"/>
  <c r="T10" i="1"/>
  <c r="T39" i="1" s="1"/>
  <c r="M10" i="1"/>
  <c r="M39" i="1" s="1"/>
  <c r="U10" i="1"/>
  <c r="U39" i="1" s="1"/>
  <c r="V10" i="1"/>
  <c r="V39" i="1" s="1"/>
  <c r="W10" i="1"/>
  <c r="W39" i="1" s="1"/>
  <c r="AA10" i="1"/>
  <c r="AA39" i="1" s="1"/>
  <c r="R10" i="1"/>
  <c r="R39" i="1" s="1"/>
  <c r="O10" i="1"/>
  <c r="O39" i="1" s="1"/>
  <c r="X10" i="1"/>
  <c r="X39" i="1" s="1"/>
  <c r="I10" i="1"/>
  <c r="Z10" i="1"/>
  <c r="Z39" i="1" s="1"/>
  <c r="L10" i="1"/>
  <c r="L39" i="1" s="1"/>
  <c r="P10" i="1"/>
  <c r="P39" i="1" s="1"/>
  <c r="K10" i="1"/>
  <c r="K39" i="1" s="1"/>
  <c r="Y10" i="1"/>
  <c r="Y39" i="1" s="1"/>
  <c r="J10" i="1"/>
  <c r="J39" i="1" s="1"/>
  <c r="Q10" i="1"/>
  <c r="Q39" i="1" s="1"/>
  <c r="AA13" i="4" l="1"/>
  <c r="T13" i="4"/>
  <c r="Z13" i="4"/>
  <c r="Y13" i="4"/>
  <c r="J13" i="4"/>
  <c r="K13" i="4"/>
  <c r="Q13" i="4"/>
  <c r="P13" i="4"/>
  <c r="M13" i="4"/>
  <c r="W13" i="4"/>
  <c r="I13" i="4"/>
  <c r="L13" i="4"/>
  <c r="O13" i="4"/>
  <c r="V13" i="4"/>
  <c r="U13" i="4"/>
  <c r="X13" i="4"/>
  <c r="R13" i="4"/>
  <c r="N13" i="4"/>
  <c r="AA43" i="4"/>
  <c r="W43" i="4"/>
  <c r="S43" i="4"/>
  <c r="O43" i="4"/>
  <c r="K43" i="4"/>
  <c r="Z43" i="4"/>
  <c r="V43" i="4"/>
  <c r="R43" i="4"/>
  <c r="N43" i="4"/>
  <c r="J43" i="4"/>
  <c r="Y43" i="4"/>
  <c r="U43" i="4"/>
  <c r="Q43" i="4"/>
  <c r="M43" i="4"/>
  <c r="X43" i="4"/>
  <c r="P43" i="4"/>
  <c r="T43" i="4"/>
  <c r="L43" i="4"/>
  <c r="I9" i="1" a="1"/>
  <c r="I39" i="1"/>
  <c r="I12" i="4" l="1" a="1"/>
  <c r="I43" i="4"/>
  <c r="AA9" i="1"/>
  <c r="AA38" i="1" s="1"/>
  <c r="Y9" i="1"/>
  <c r="Y38" i="1" s="1"/>
  <c r="Z9" i="1"/>
  <c r="Z38" i="1" s="1"/>
  <c r="P9" i="1"/>
  <c r="P38" i="1" s="1"/>
  <c r="I9" i="1"/>
  <c r="V9" i="1"/>
  <c r="V38" i="1" s="1"/>
  <c r="N9" i="1"/>
  <c r="N38" i="1" s="1"/>
  <c r="T9" i="1"/>
  <c r="T38" i="1" s="1"/>
  <c r="U9" i="1"/>
  <c r="U38" i="1" s="1"/>
  <c r="X9" i="1"/>
  <c r="X38" i="1" s="1"/>
  <c r="K9" i="1"/>
  <c r="K38" i="1" s="1"/>
  <c r="J9" i="1"/>
  <c r="J38" i="1" s="1"/>
  <c r="W9" i="1"/>
  <c r="W38" i="1" s="1"/>
  <c r="Q9" i="1"/>
  <c r="Q38" i="1" s="1"/>
  <c r="R9" i="1"/>
  <c r="R38" i="1" s="1"/>
  <c r="S9" i="1"/>
  <c r="S38" i="1" s="1"/>
  <c r="L9" i="1"/>
  <c r="L38" i="1" s="1"/>
  <c r="O9" i="1"/>
  <c r="O38" i="1" s="1"/>
  <c r="M9" i="1"/>
  <c r="M38" i="1" s="1"/>
  <c r="Y12" i="4" l="1"/>
  <c r="I12" i="4"/>
  <c r="N12" i="4"/>
  <c r="R12" i="4"/>
  <c r="Q12" i="4"/>
  <c r="S12" i="4"/>
  <c r="W12" i="4"/>
  <c r="J12" i="4"/>
  <c r="X12" i="4"/>
  <c r="T12" i="4"/>
  <c r="M12" i="4"/>
  <c r="U12" i="4"/>
  <c r="O12" i="4"/>
  <c r="Z12" i="4"/>
  <c r="L12" i="4"/>
  <c r="V12" i="4"/>
  <c r="AA12" i="4"/>
  <c r="P12" i="4"/>
  <c r="K12" i="4"/>
  <c r="Y42" i="4"/>
  <c r="U42" i="4"/>
  <c r="Q42" i="4"/>
  <c r="M42" i="4"/>
  <c r="X42" i="4"/>
  <c r="T42" i="4"/>
  <c r="P42" i="4"/>
  <c r="L42" i="4"/>
  <c r="AA42" i="4"/>
  <c r="W42" i="4"/>
  <c r="S42" i="4"/>
  <c r="O42" i="4"/>
  <c r="K42" i="4"/>
  <c r="N42" i="4"/>
  <c r="V42" i="4"/>
  <c r="Z42" i="4"/>
  <c r="J42" i="4"/>
  <c r="R42" i="4"/>
  <c r="I38" i="1"/>
  <c r="I8" i="1" a="1"/>
  <c r="I11" i="4" l="1" a="1"/>
  <c r="O11" i="4" s="1"/>
  <c r="I42" i="4"/>
  <c r="R8" i="1"/>
  <c r="R37" i="1" s="1"/>
  <c r="L8" i="1"/>
  <c r="L37" i="1" s="1"/>
  <c r="I8" i="1"/>
  <c r="Z8" i="1"/>
  <c r="Z37" i="1" s="1"/>
  <c r="V8" i="1"/>
  <c r="V37" i="1" s="1"/>
  <c r="J8" i="1"/>
  <c r="J37" i="1" s="1"/>
  <c r="O8" i="1"/>
  <c r="O37" i="1" s="1"/>
  <c r="M8" i="1"/>
  <c r="M37" i="1" s="1"/>
  <c r="K8" i="1"/>
  <c r="K37" i="1" s="1"/>
  <c r="AA8" i="1"/>
  <c r="AA37" i="1" s="1"/>
  <c r="P8" i="1"/>
  <c r="P37" i="1" s="1"/>
  <c r="Q8" i="1"/>
  <c r="Q37" i="1" s="1"/>
  <c r="N8" i="1"/>
  <c r="N37" i="1" s="1"/>
  <c r="X8" i="1"/>
  <c r="X37" i="1" s="1"/>
  <c r="T8" i="1"/>
  <c r="T37" i="1" s="1"/>
  <c r="S8" i="1"/>
  <c r="S37" i="1" s="1"/>
  <c r="U8" i="1"/>
  <c r="U37" i="1" s="1"/>
  <c r="W8" i="1"/>
  <c r="W37" i="1" s="1"/>
  <c r="Y8" i="1"/>
  <c r="Y37" i="1" s="1"/>
  <c r="U11" i="4" l="1"/>
  <c r="T11" i="4"/>
  <c r="S11" i="4"/>
  <c r="P11" i="4"/>
  <c r="Y11" i="4"/>
  <c r="K11" i="4"/>
  <c r="N11" i="4"/>
  <c r="R11" i="4"/>
  <c r="Z11" i="4"/>
  <c r="M11" i="4"/>
  <c r="AA11" i="4"/>
  <c r="V11" i="4"/>
  <c r="L11" i="4"/>
  <c r="X11" i="4"/>
  <c r="W11" i="4"/>
  <c r="I11" i="4"/>
  <c r="I10" i="4" s="1" a="1"/>
  <c r="S10" i="4" s="1"/>
  <c r="J11" i="4"/>
  <c r="Q11" i="4"/>
  <c r="X41" i="4"/>
  <c r="T41" i="4"/>
  <c r="P41" i="4"/>
  <c r="L41" i="4"/>
  <c r="AA41" i="4"/>
  <c r="W41" i="4"/>
  <c r="S41" i="4"/>
  <c r="O41" i="4"/>
  <c r="K41" i="4"/>
  <c r="Z41" i="4"/>
  <c r="V41" i="4"/>
  <c r="R41" i="4"/>
  <c r="N41" i="4"/>
  <c r="J41" i="4"/>
  <c r="U41" i="4"/>
  <c r="Q41" i="4"/>
  <c r="M41" i="4"/>
  <c r="Y41" i="4"/>
  <c r="I37" i="1"/>
  <c r="I7" i="1" a="1"/>
  <c r="O10" i="4" l="1"/>
  <c r="Z10" i="4"/>
  <c r="V10" i="4"/>
  <c r="N10" i="4"/>
  <c r="T10" i="4"/>
  <c r="I10" i="4"/>
  <c r="P10" i="4"/>
  <c r="Y10" i="4"/>
  <c r="W10" i="4"/>
  <c r="R10" i="4"/>
  <c r="Q10" i="4"/>
  <c r="J10" i="4"/>
  <c r="U10" i="4"/>
  <c r="M10" i="4"/>
  <c r="X10" i="4"/>
  <c r="K10" i="4"/>
  <c r="AA10" i="4"/>
  <c r="L10" i="4"/>
  <c r="I41" i="4"/>
  <c r="M7" i="1"/>
  <c r="M36" i="1" s="1"/>
  <c r="O7" i="1"/>
  <c r="O36" i="1" s="1"/>
  <c r="L7" i="1"/>
  <c r="L36" i="1" s="1"/>
  <c r="N7" i="1"/>
  <c r="N36" i="1" s="1"/>
  <c r="K7" i="1"/>
  <c r="K36" i="1" s="1"/>
  <c r="Z7" i="1"/>
  <c r="Z36" i="1" s="1"/>
  <c r="I7" i="1"/>
  <c r="AA7" i="1"/>
  <c r="AA36" i="1" s="1"/>
  <c r="R7" i="1"/>
  <c r="R36" i="1" s="1"/>
  <c r="Y7" i="1"/>
  <c r="Y36" i="1" s="1"/>
  <c r="W7" i="1"/>
  <c r="W36" i="1" s="1"/>
  <c r="T7" i="1"/>
  <c r="T36" i="1" s="1"/>
  <c r="P7" i="1"/>
  <c r="P36" i="1" s="1"/>
  <c r="J7" i="1"/>
  <c r="J36" i="1" s="1"/>
  <c r="S7" i="1"/>
  <c r="S36" i="1" s="1"/>
  <c r="X7" i="1"/>
  <c r="X36" i="1" s="1"/>
  <c r="Q7" i="1"/>
  <c r="Q36" i="1" s="1"/>
  <c r="U7" i="1"/>
  <c r="U36" i="1" s="1"/>
  <c r="V7" i="1"/>
  <c r="V36" i="1" s="1"/>
  <c r="I9" i="4" l="1" a="1"/>
  <c r="Z40" i="4"/>
  <c r="V40" i="4"/>
  <c r="R40" i="4"/>
  <c r="N40" i="4"/>
  <c r="J40" i="4"/>
  <c r="Y40" i="4"/>
  <c r="U40" i="4"/>
  <c r="Q40" i="4"/>
  <c r="M40" i="4"/>
  <c r="X40" i="4"/>
  <c r="T40" i="4"/>
  <c r="P40" i="4"/>
  <c r="L40" i="4"/>
  <c r="AA40" i="4"/>
  <c r="K40" i="4"/>
  <c r="W40" i="4"/>
  <c r="S40" i="4"/>
  <c r="O40" i="4"/>
  <c r="I6" i="1" a="1"/>
  <c r="I36" i="1"/>
  <c r="K9" i="4" l="1"/>
  <c r="S9" i="4"/>
  <c r="U9" i="4"/>
  <c r="N9" i="4"/>
  <c r="Q9" i="4"/>
  <c r="M9" i="4"/>
  <c r="V9" i="4"/>
  <c r="O9" i="4"/>
  <c r="X9" i="4"/>
  <c r="R9" i="4"/>
  <c r="Z9" i="4"/>
  <c r="W9" i="4"/>
  <c r="AA9" i="4"/>
  <c r="L9" i="4"/>
  <c r="J9" i="4"/>
  <c r="T9" i="4"/>
  <c r="Y9" i="4"/>
  <c r="P9" i="4"/>
  <c r="I9" i="4"/>
  <c r="I8" i="4" s="1" a="1"/>
  <c r="I40" i="4"/>
  <c r="O6" i="1"/>
  <c r="O35" i="1" s="1"/>
  <c r="Z6" i="1"/>
  <c r="Z35" i="1" s="1"/>
  <c r="N6" i="1"/>
  <c r="N35" i="1" s="1"/>
  <c r="L6" i="1"/>
  <c r="L35" i="1" s="1"/>
  <c r="M6" i="1"/>
  <c r="M35" i="1" s="1"/>
  <c r="S6" i="1"/>
  <c r="S35" i="1" s="1"/>
  <c r="J6" i="1"/>
  <c r="J35" i="1" s="1"/>
  <c r="K6" i="1"/>
  <c r="K35" i="1" s="1"/>
  <c r="X6" i="1"/>
  <c r="X35" i="1" s="1"/>
  <c r="T6" i="1"/>
  <c r="T35" i="1" s="1"/>
  <c r="Y6" i="1"/>
  <c r="Y35" i="1" s="1"/>
  <c r="P6" i="1"/>
  <c r="P35" i="1" s="1"/>
  <c r="R6" i="1"/>
  <c r="R35" i="1" s="1"/>
  <c r="AA6" i="1"/>
  <c r="AA35" i="1" s="1"/>
  <c r="U6" i="1"/>
  <c r="U35" i="1" s="1"/>
  <c r="W6" i="1"/>
  <c r="W35" i="1" s="1"/>
  <c r="I6" i="1"/>
  <c r="V6" i="1"/>
  <c r="V35" i="1" s="1"/>
  <c r="Q6" i="1"/>
  <c r="Q35" i="1" s="1"/>
  <c r="X8" i="4" l="1"/>
  <c r="Q8" i="4"/>
  <c r="Z8" i="4"/>
  <c r="J8" i="4"/>
  <c r="I8" i="4"/>
  <c r="U8" i="4"/>
  <c r="T8" i="4"/>
  <c r="M8" i="4"/>
  <c r="N8" i="4"/>
  <c r="P8" i="4"/>
  <c r="L8" i="4"/>
  <c r="S8" i="4"/>
  <c r="AA8" i="4"/>
  <c r="R8" i="4"/>
  <c r="K8" i="4"/>
  <c r="O8" i="4"/>
  <c r="V8" i="4"/>
  <c r="Y8" i="4"/>
  <c r="W8" i="4"/>
  <c r="X39" i="4"/>
  <c r="T39" i="4"/>
  <c r="P39" i="4"/>
  <c r="L39" i="4"/>
  <c r="AA39" i="4"/>
  <c r="W39" i="4"/>
  <c r="S39" i="4"/>
  <c r="O39" i="4"/>
  <c r="K39" i="4"/>
  <c r="Z39" i="4"/>
  <c r="V39" i="4"/>
  <c r="R39" i="4"/>
  <c r="N39" i="4"/>
  <c r="J39" i="4"/>
  <c r="Q39" i="4"/>
  <c r="U39" i="4"/>
  <c r="M39" i="4"/>
  <c r="Y39" i="4"/>
  <c r="I5" i="1" a="1"/>
  <c r="I35" i="1"/>
  <c r="I7" i="4" l="1" a="1"/>
  <c r="AA7" i="4" s="1"/>
  <c r="I39" i="4"/>
  <c r="R5" i="1"/>
  <c r="R34" i="1" s="1"/>
  <c r="L5" i="1"/>
  <c r="L34" i="1" s="1"/>
  <c r="P5" i="1"/>
  <c r="P34" i="1" s="1"/>
  <c r="Y5" i="1"/>
  <c r="Y34" i="1" s="1"/>
  <c r="O5" i="1"/>
  <c r="O34" i="1" s="1"/>
  <c r="K5" i="1"/>
  <c r="K34" i="1" s="1"/>
  <c r="N5" i="1"/>
  <c r="N34" i="1" s="1"/>
  <c r="Z5" i="1"/>
  <c r="Z34" i="1" s="1"/>
  <c r="Q5" i="1"/>
  <c r="Q34" i="1" s="1"/>
  <c r="W5" i="1"/>
  <c r="W34" i="1" s="1"/>
  <c r="V5" i="1"/>
  <c r="V34" i="1" s="1"/>
  <c r="U5" i="1"/>
  <c r="U34" i="1" s="1"/>
  <c r="J5" i="1"/>
  <c r="J34" i="1" s="1"/>
  <c r="S5" i="1"/>
  <c r="S34" i="1" s="1"/>
  <c r="I5" i="1"/>
  <c r="M5" i="1"/>
  <c r="M34" i="1" s="1"/>
  <c r="X5" i="1"/>
  <c r="X34" i="1" s="1"/>
  <c r="T5" i="1"/>
  <c r="T34" i="1" s="1"/>
  <c r="AA5" i="1"/>
  <c r="AA34" i="1" s="1"/>
  <c r="X7" i="4" l="1"/>
  <c r="W7" i="4"/>
  <c r="N7" i="4"/>
  <c r="O7" i="4"/>
  <c r="P7" i="4"/>
  <c r="K7" i="4"/>
  <c r="J7" i="4"/>
  <c r="I7" i="4"/>
  <c r="I6" i="4" s="1" a="1"/>
  <c r="S7" i="4"/>
  <c r="M7" i="4"/>
  <c r="Q7" i="4"/>
  <c r="L7" i="4"/>
  <c r="R7" i="4"/>
  <c r="T7" i="4"/>
  <c r="U7" i="4"/>
  <c r="Z7" i="4"/>
  <c r="V7" i="4"/>
  <c r="Y7" i="4"/>
  <c r="Z38" i="4"/>
  <c r="V38" i="4"/>
  <c r="R38" i="4"/>
  <c r="N38" i="4"/>
  <c r="J38" i="4"/>
  <c r="Y38" i="4"/>
  <c r="U38" i="4"/>
  <c r="Q38" i="4"/>
  <c r="M38" i="4"/>
  <c r="X38" i="4"/>
  <c r="T38" i="4"/>
  <c r="P38" i="4"/>
  <c r="L38" i="4"/>
  <c r="W38" i="4"/>
  <c r="K38" i="4"/>
  <c r="S38" i="4"/>
  <c r="O38" i="4"/>
  <c r="AA38" i="4"/>
  <c r="I34" i="1"/>
  <c r="I4" i="1" a="1"/>
  <c r="K6" i="4" l="1"/>
  <c r="Q6" i="4"/>
  <c r="R6" i="4"/>
  <c r="Y6" i="4"/>
  <c r="T6" i="4"/>
  <c r="I6" i="4"/>
  <c r="V6" i="4"/>
  <c r="Z6" i="4"/>
  <c r="U6" i="4"/>
  <c r="AA6" i="4"/>
  <c r="P6" i="4"/>
  <c r="X6" i="4"/>
  <c r="N6" i="4"/>
  <c r="M6" i="4"/>
  <c r="W6" i="4"/>
  <c r="L6" i="4"/>
  <c r="O6" i="4"/>
  <c r="J6" i="4"/>
  <c r="S6" i="4"/>
  <c r="I38" i="4"/>
  <c r="U4" i="1"/>
  <c r="U33" i="1" s="1"/>
  <c r="W4" i="1"/>
  <c r="W33" i="1" s="1"/>
  <c r="J4" i="1"/>
  <c r="J33" i="1" s="1"/>
  <c r="M4" i="1"/>
  <c r="M33" i="1" s="1"/>
  <c r="Y4" i="1"/>
  <c r="Y33" i="1" s="1"/>
  <c r="O4" i="1"/>
  <c r="O33" i="1" s="1"/>
  <c r="AA4" i="1"/>
  <c r="AA33" i="1" s="1"/>
  <c r="S4" i="1"/>
  <c r="S33" i="1" s="1"/>
  <c r="N4" i="1"/>
  <c r="N33" i="1" s="1"/>
  <c r="L4" i="1"/>
  <c r="L33" i="1" s="1"/>
  <c r="K4" i="1"/>
  <c r="K33" i="1" s="1"/>
  <c r="Z4" i="1"/>
  <c r="Z33" i="1" s="1"/>
  <c r="X4" i="1"/>
  <c r="X33" i="1" s="1"/>
  <c r="R4" i="1"/>
  <c r="R33" i="1" s="1"/>
  <c r="T4" i="1"/>
  <c r="T33" i="1" s="1"/>
  <c r="I4" i="1"/>
  <c r="P4" i="1"/>
  <c r="P33" i="1" s="1"/>
  <c r="Q4" i="1"/>
  <c r="Q33" i="1" s="1"/>
  <c r="V4" i="1"/>
  <c r="V33" i="1" s="1"/>
  <c r="I5" i="4" l="1" a="1"/>
  <c r="N5" i="4" s="1"/>
  <c r="X37" i="4"/>
  <c r="T37" i="4"/>
  <c r="P37" i="4"/>
  <c r="L37" i="4"/>
  <c r="AA37" i="4"/>
  <c r="W37" i="4"/>
  <c r="S37" i="4"/>
  <c r="O37" i="4"/>
  <c r="K37" i="4"/>
  <c r="Z37" i="4"/>
  <c r="V37" i="4"/>
  <c r="R37" i="4"/>
  <c r="N37" i="4"/>
  <c r="J37" i="4"/>
  <c r="M37" i="4"/>
  <c r="Y37" i="4"/>
  <c r="U37" i="4"/>
  <c r="Q37" i="4"/>
  <c r="I33" i="1"/>
  <c r="I3" i="1" a="1"/>
  <c r="O5" i="4" l="1"/>
  <c r="Q5" i="4"/>
  <c r="W5" i="4"/>
  <c r="K5" i="4"/>
  <c r="AA5" i="4"/>
  <c r="L5" i="4"/>
  <c r="R5" i="4"/>
  <c r="M5" i="4"/>
  <c r="Y5" i="4"/>
  <c r="I5" i="4"/>
  <c r="V5" i="4"/>
  <c r="X5" i="4"/>
  <c r="S5" i="4"/>
  <c r="T5" i="4"/>
  <c r="J5" i="4"/>
  <c r="P5" i="4"/>
  <c r="Z5" i="4"/>
  <c r="U5" i="4"/>
  <c r="I4" i="4" a="1"/>
  <c r="K4" i="4" s="1"/>
  <c r="I37" i="4"/>
  <c r="V3" i="1"/>
  <c r="V32" i="1" s="1"/>
  <c r="I3" i="1"/>
  <c r="I32" i="1" s="1"/>
  <c r="R3" i="1"/>
  <c r="R32" i="1" s="1"/>
  <c r="D27" i="1" s="1"/>
  <c r="D29" i="1" s="1"/>
  <c r="N3" i="1"/>
  <c r="N32" i="1" s="1"/>
  <c r="O3" i="1"/>
  <c r="O32" i="1" s="1"/>
  <c r="T3" i="1"/>
  <c r="T32" i="1" s="1"/>
  <c r="Z3" i="1"/>
  <c r="Z32" i="1" s="1"/>
  <c r="J3" i="1"/>
  <c r="J32" i="1" s="1"/>
  <c r="L3" i="1"/>
  <c r="L32" i="1" s="1"/>
  <c r="K3" i="1"/>
  <c r="K32" i="1" s="1"/>
  <c r="X3" i="1"/>
  <c r="X32" i="1" s="1"/>
  <c r="Y3" i="1"/>
  <c r="Y32" i="1" s="1"/>
  <c r="S3" i="1"/>
  <c r="S32" i="1" s="1"/>
  <c r="AA3" i="1"/>
  <c r="AA32" i="1" s="1"/>
  <c r="M3" i="1"/>
  <c r="M32" i="1" s="1"/>
  <c r="P3" i="1"/>
  <c r="P32" i="1" s="1"/>
  <c r="U3" i="1"/>
  <c r="U32" i="1" s="1"/>
  <c r="Q3" i="1"/>
  <c r="Q32" i="1" s="1"/>
  <c r="W3" i="1"/>
  <c r="W32" i="1" s="1"/>
  <c r="U4" i="4" l="1"/>
  <c r="AA4" i="4"/>
  <c r="N4" i="4"/>
  <c r="P4" i="4"/>
  <c r="X4" i="4"/>
  <c r="W4" i="4"/>
  <c r="L4" i="4"/>
  <c r="V4" i="4"/>
  <c r="O4" i="4"/>
  <c r="Z4" i="4"/>
  <c r="I4" i="4"/>
  <c r="I3" i="4" s="1" a="1"/>
  <c r="J3" i="4" s="1"/>
  <c r="J4" i="4"/>
  <c r="Q4" i="4"/>
  <c r="R4" i="4"/>
  <c r="S4" i="4"/>
  <c r="Y4" i="4"/>
  <c r="T4" i="4"/>
  <c r="M4" i="4"/>
  <c r="Z36" i="4"/>
  <c r="V36" i="4"/>
  <c r="R36" i="4"/>
  <c r="N36" i="4"/>
  <c r="J36" i="4"/>
  <c r="Y36" i="4"/>
  <c r="U36" i="4"/>
  <c r="Q36" i="4"/>
  <c r="M36" i="4"/>
  <c r="X36" i="4"/>
  <c r="T36" i="4"/>
  <c r="P36" i="4"/>
  <c r="L36" i="4"/>
  <c r="S36" i="4"/>
  <c r="O36" i="4"/>
  <c r="AA36" i="4"/>
  <c r="K36" i="4"/>
  <c r="W36" i="4"/>
  <c r="L3" i="4" l="1"/>
  <c r="Y3" i="4"/>
  <c r="AA3" i="4"/>
  <c r="I3" i="4"/>
  <c r="S3" i="4"/>
  <c r="O3" i="4"/>
  <c r="Q3" i="4"/>
  <c r="T3" i="4"/>
  <c r="K3" i="4"/>
  <c r="V3" i="4"/>
  <c r="Z3" i="4"/>
  <c r="W3" i="4"/>
  <c r="M3" i="4"/>
  <c r="R3" i="4"/>
  <c r="P3" i="4"/>
  <c r="X3" i="4"/>
  <c r="N3" i="4"/>
  <c r="U3" i="4"/>
  <c r="I36" i="4"/>
  <c r="X35" i="4" l="1"/>
  <c r="T35" i="4"/>
  <c r="P35" i="4"/>
  <c r="L35" i="4"/>
  <c r="AA35" i="4"/>
  <c r="W35" i="4"/>
  <c r="S35" i="4"/>
  <c r="O35" i="4"/>
  <c r="K35" i="4"/>
  <c r="Z35" i="4"/>
  <c r="V35" i="4"/>
  <c r="R35" i="4"/>
  <c r="N35" i="4"/>
  <c r="J35" i="4"/>
  <c r="Y35" i="4"/>
  <c r="U35" i="4"/>
  <c r="Q35" i="4"/>
  <c r="M35" i="4"/>
  <c r="I35" i="4" l="1"/>
  <c r="Z34" i="4" l="1"/>
  <c r="V34" i="4"/>
  <c r="R34" i="4"/>
  <c r="N34" i="4"/>
  <c r="J34" i="4"/>
  <c r="Y34" i="4"/>
  <c r="U34" i="4"/>
  <c r="Q34" i="4"/>
  <c r="M34" i="4"/>
  <c r="X34" i="4"/>
  <c r="T34" i="4"/>
  <c r="P34" i="4"/>
  <c r="L34" i="4"/>
  <c r="O34" i="4"/>
  <c r="AA34" i="4"/>
  <c r="K34" i="4"/>
  <c r="W34" i="4"/>
  <c r="S34" i="4"/>
  <c r="I34" i="4" l="1"/>
  <c r="X33" i="4" l="1"/>
  <c r="T33" i="4"/>
  <c r="P33" i="4"/>
  <c r="L33" i="4"/>
  <c r="AA33" i="4"/>
  <c r="W33" i="4"/>
  <c r="S33" i="4"/>
  <c r="O33" i="4"/>
  <c r="K33" i="4"/>
  <c r="Z33" i="4"/>
  <c r="V33" i="4"/>
  <c r="R33" i="4"/>
  <c r="N33" i="4"/>
  <c r="J33" i="4"/>
  <c r="U33" i="4"/>
  <c r="Q33" i="4"/>
  <c r="M33" i="4"/>
  <c r="Y33" i="4"/>
  <c r="I33" i="4" l="1"/>
  <c r="Y32" i="4" l="1"/>
  <c r="U32" i="4"/>
  <c r="Q32" i="4"/>
  <c r="M32" i="4"/>
  <c r="I32" i="4"/>
  <c r="X32" i="4"/>
  <c r="T32" i="4"/>
  <c r="P32" i="4"/>
  <c r="L32" i="4"/>
  <c r="AA32" i="4"/>
  <c r="S32" i="4"/>
  <c r="K32" i="4"/>
  <c r="Z32" i="4"/>
  <c r="J32" i="4"/>
  <c r="W32" i="4"/>
  <c r="O32" i="4"/>
  <c r="V32" i="4"/>
  <c r="N32" i="4"/>
  <c r="R32" i="4" l="1"/>
  <c r="D27" i="4" s="1"/>
  <c r="D29" i="4" s="1"/>
</calcChain>
</file>

<file path=xl/sharedStrings.xml><?xml version="1.0" encoding="utf-8"?>
<sst xmlns="http://schemas.openxmlformats.org/spreadsheetml/2006/main" count="98" uniqueCount="41">
  <si>
    <t>spot</t>
  </si>
  <si>
    <t>USD zero rate</t>
  </si>
  <si>
    <t xml:space="preserve"> JPY zero rate</t>
  </si>
  <si>
    <t>strike</t>
  </si>
  <si>
    <t>vol</t>
  </si>
  <si>
    <t>time to expiration</t>
  </si>
  <si>
    <t>(domestic)</t>
  </si>
  <si>
    <t>m</t>
  </si>
  <si>
    <t>gamma max</t>
  </si>
  <si>
    <t>theta</t>
  </si>
  <si>
    <t>x10</t>
  </si>
  <si>
    <t>delta x</t>
  </si>
  <si>
    <t>x0</t>
  </si>
  <si>
    <t>tau max</t>
  </si>
  <si>
    <t>delta tau</t>
  </si>
  <si>
    <t>x20</t>
  </si>
  <si>
    <t>lambda</t>
  </si>
  <si>
    <t>S min</t>
  </si>
  <si>
    <t>S max</t>
  </si>
  <si>
    <t>qdelta</t>
  </si>
  <si>
    <t>tau</t>
  </si>
  <si>
    <t>A</t>
  </si>
  <si>
    <t>B</t>
  </si>
  <si>
    <t>(A-1)B</t>
  </si>
  <si>
    <t>x</t>
  </si>
  <si>
    <t>d</t>
  </si>
  <si>
    <t>A-inverse</t>
  </si>
  <si>
    <t>method</t>
  </si>
  <si>
    <t>Crack Nicolson</t>
  </si>
  <si>
    <t>Explicit</t>
  </si>
  <si>
    <t>Implicit</t>
  </si>
  <si>
    <t>q</t>
  </si>
  <si>
    <t>pde price</t>
  </si>
  <si>
    <t>bs price</t>
  </si>
  <si>
    <t>discrepancy</t>
  </si>
  <si>
    <t>step</t>
  </si>
  <si>
    <t>theta start</t>
  </si>
  <si>
    <t>theta end</t>
  </si>
  <si>
    <t>pde</t>
  </si>
  <si>
    <t>theta=0</t>
  </si>
  <si>
    <t>theta=0.5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</si>
</sst>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'with k '!$G$60</c:f>
              <c:strCache>
                <c:ptCount val="1"/>
                <c:pt idx="0">
                  <c:v>discrepancy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'with k '!$F$61:$F$161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>
                  <c:v>6.1756155744774333E-16</c:v>
                </c:pt>
                <c:pt idx="51">
                  <c:v>2.0000000000000618E-2</c:v>
                </c:pt>
                <c:pt idx="52">
                  <c:v>4.0000000000000618E-2</c:v>
                </c:pt>
                <c:pt idx="53">
                  <c:v>6.0000000000000622E-2</c:v>
                </c:pt>
                <c:pt idx="54">
                  <c:v>8.0000000000000626E-2</c:v>
                </c:pt>
                <c:pt idx="55">
                  <c:v>0.10000000000000063</c:v>
                </c:pt>
                <c:pt idx="56">
                  <c:v>0.12000000000000063</c:v>
                </c:pt>
                <c:pt idx="57">
                  <c:v>0.14000000000000062</c:v>
                </c:pt>
                <c:pt idx="58">
                  <c:v>0.16000000000000061</c:v>
                </c:pt>
                <c:pt idx="59">
                  <c:v>0.1800000000000006</c:v>
                </c:pt>
                <c:pt idx="60">
                  <c:v>0.20000000000000059</c:v>
                </c:pt>
                <c:pt idx="61">
                  <c:v>0.22000000000000058</c:v>
                </c:pt>
                <c:pt idx="62">
                  <c:v>0.24000000000000057</c:v>
                </c:pt>
                <c:pt idx="63">
                  <c:v>0.26000000000000056</c:v>
                </c:pt>
                <c:pt idx="64">
                  <c:v>0.28000000000000058</c:v>
                </c:pt>
                <c:pt idx="65">
                  <c:v>0.3000000000000006</c:v>
                </c:pt>
                <c:pt idx="66">
                  <c:v>0.32000000000000062</c:v>
                </c:pt>
                <c:pt idx="67">
                  <c:v>0.34000000000000064</c:v>
                </c:pt>
                <c:pt idx="68">
                  <c:v>0.36000000000000065</c:v>
                </c:pt>
                <c:pt idx="69">
                  <c:v>0.38000000000000067</c:v>
                </c:pt>
                <c:pt idx="70">
                  <c:v>0.40000000000000069</c:v>
                </c:pt>
                <c:pt idx="71">
                  <c:v>0.42000000000000071</c:v>
                </c:pt>
                <c:pt idx="72">
                  <c:v>0.44000000000000072</c:v>
                </c:pt>
                <c:pt idx="73">
                  <c:v>0.46000000000000074</c:v>
                </c:pt>
                <c:pt idx="74">
                  <c:v>0.48000000000000076</c:v>
                </c:pt>
                <c:pt idx="75">
                  <c:v>0.50000000000000078</c:v>
                </c:pt>
                <c:pt idx="76">
                  <c:v>0.52000000000000079</c:v>
                </c:pt>
                <c:pt idx="77">
                  <c:v>0.54000000000000081</c:v>
                </c:pt>
                <c:pt idx="78">
                  <c:v>0.56000000000000083</c:v>
                </c:pt>
                <c:pt idx="79">
                  <c:v>0.58000000000000085</c:v>
                </c:pt>
                <c:pt idx="80">
                  <c:v>0.60000000000000087</c:v>
                </c:pt>
                <c:pt idx="81">
                  <c:v>0.62000000000000088</c:v>
                </c:pt>
                <c:pt idx="82">
                  <c:v>0.6400000000000009</c:v>
                </c:pt>
                <c:pt idx="83">
                  <c:v>0.66000000000000092</c:v>
                </c:pt>
                <c:pt idx="84">
                  <c:v>0.68000000000000094</c:v>
                </c:pt>
                <c:pt idx="85">
                  <c:v>0.70000000000000095</c:v>
                </c:pt>
                <c:pt idx="86">
                  <c:v>0.72000000000000097</c:v>
                </c:pt>
                <c:pt idx="87">
                  <c:v>0.74000000000000099</c:v>
                </c:pt>
                <c:pt idx="88">
                  <c:v>0.76000000000000101</c:v>
                </c:pt>
                <c:pt idx="89">
                  <c:v>0.78000000000000103</c:v>
                </c:pt>
                <c:pt idx="90">
                  <c:v>0.80000000000000104</c:v>
                </c:pt>
                <c:pt idx="91">
                  <c:v>0.82000000000000106</c:v>
                </c:pt>
                <c:pt idx="92">
                  <c:v>0.84000000000000108</c:v>
                </c:pt>
                <c:pt idx="93">
                  <c:v>0.8600000000000011</c:v>
                </c:pt>
                <c:pt idx="94">
                  <c:v>0.88000000000000111</c:v>
                </c:pt>
                <c:pt idx="95">
                  <c:v>0.90000000000000113</c:v>
                </c:pt>
                <c:pt idx="96">
                  <c:v>0.92000000000000115</c:v>
                </c:pt>
                <c:pt idx="97">
                  <c:v>0.94000000000000117</c:v>
                </c:pt>
                <c:pt idx="98">
                  <c:v>0.96000000000000119</c:v>
                </c:pt>
                <c:pt idx="99">
                  <c:v>0.9800000000000012</c:v>
                </c:pt>
                <c:pt idx="100">
                  <c:v>1.0000000000000011</c:v>
                </c:pt>
              </c:numCache>
            </c:numRef>
          </c:xVal>
          <c:yVal>
            <c:numRef>
              <c:f>'with k '!$G$61:$G$161</c:f>
              <c:numCache>
                <c:formatCode>General</c:formatCode>
                <c:ptCount val="101"/>
                <c:pt idx="0">
                  <c:v>6.6005078832069852E-3</c:v>
                </c:pt>
                <c:pt idx="1">
                  <c:v>6.5279359111876101E-3</c:v>
                </c:pt>
                <c:pt idx="2">
                  <c:v>6.4554212272445177E-3</c:v>
                </c:pt>
                <c:pt idx="3">
                  <c:v>6.3829642344868098E-3</c:v>
                </c:pt>
                <c:pt idx="4">
                  <c:v>6.3105653391002381E-3</c:v>
                </c:pt>
                <c:pt idx="5">
                  <c:v>6.2382249503845077E-3</c:v>
                </c:pt>
                <c:pt idx="6">
                  <c:v>6.1659434807399549E-3</c:v>
                </c:pt>
                <c:pt idx="7">
                  <c:v>6.0937213457492589E-3</c:v>
                </c:pt>
                <c:pt idx="8">
                  <c:v>6.0215589641572365E-3</c:v>
                </c:pt>
                <c:pt idx="9">
                  <c:v>5.9494567579077007E-3</c:v>
                </c:pt>
                <c:pt idx="10">
                  <c:v>5.8774151521878704E-3</c:v>
                </c:pt>
                <c:pt idx="11">
                  <c:v>5.8054345754372516E-3</c:v>
                </c:pt>
                <c:pt idx="12">
                  <c:v>5.7335154593802784E-3</c:v>
                </c:pt>
                <c:pt idx="13">
                  <c:v>5.6616582390538461E-3</c:v>
                </c:pt>
                <c:pt idx="14">
                  <c:v>5.5898633528221886E-3</c:v>
                </c:pt>
                <c:pt idx="15">
                  <c:v>5.5181312424146256E-3</c:v>
                </c:pt>
                <c:pt idx="16">
                  <c:v>5.4464623529455469E-3</c:v>
                </c:pt>
                <c:pt idx="17">
                  <c:v>5.3748571329548245E-3</c:v>
                </c:pt>
                <c:pt idx="18">
                  <c:v>5.3033160343887165E-3</c:v>
                </c:pt>
                <c:pt idx="19">
                  <c:v>5.2318395127091133E-3</c:v>
                </c:pt>
                <c:pt idx="20">
                  <c:v>5.1604280268069402E-3</c:v>
                </c:pt>
                <c:pt idx="21">
                  <c:v>5.089082039144488E-3</c:v>
                </c:pt>
                <c:pt idx="22">
                  <c:v>5.0178020156763647E-3</c:v>
                </c:pt>
                <c:pt idx="23">
                  <c:v>4.9465884259360937E-3</c:v>
                </c:pt>
                <c:pt idx="24">
                  <c:v>4.8754417430574293E-3</c:v>
                </c:pt>
                <c:pt idx="25">
                  <c:v>4.8043624437743571E-3</c:v>
                </c:pt>
                <c:pt idx="26">
                  <c:v>4.7333510084659469E-3</c:v>
                </c:pt>
                <c:pt idx="27">
                  <c:v>4.6624079211472491E-3</c:v>
                </c:pt>
                <c:pt idx="28">
                  <c:v>4.5915336695299125E-3</c:v>
                </c:pt>
                <c:pt idx="29">
                  <c:v>4.5207287450379496E-3</c:v>
                </c:pt>
                <c:pt idx="30">
                  <c:v>4.4499936428057385E-3</c:v>
                </c:pt>
                <c:pt idx="31">
                  <c:v>4.3793288617126613E-3</c:v>
                </c:pt>
                <c:pt idx="32">
                  <c:v>4.3087349044130807E-3</c:v>
                </c:pt>
                <c:pt idx="33">
                  <c:v>4.2382122773232389E-3</c:v>
                </c:pt>
                <c:pt idx="34">
                  <c:v>4.1677614906692195E-3</c:v>
                </c:pt>
                <c:pt idx="35">
                  <c:v>4.0973830585058213E-3</c:v>
                </c:pt>
                <c:pt idx="36">
                  <c:v>4.0270774986983504E-3</c:v>
                </c:pt>
                <c:pt idx="37">
                  <c:v>3.9568453329423825E-3</c:v>
                </c:pt>
                <c:pt idx="38">
                  <c:v>3.886687086800622E-3</c:v>
                </c:pt>
                <c:pt idx="39">
                  <c:v>3.8166032896693736E-3</c:v>
                </c:pt>
                <c:pt idx="40">
                  <c:v>3.746594474819398E-3</c:v>
                </c:pt>
                <c:pt idx="41">
                  <c:v>3.6766611793639381E-3</c:v>
                </c:pt>
                <c:pt idx="42">
                  <c:v>3.6068039442846977E-3</c:v>
                </c:pt>
                <c:pt idx="43">
                  <c:v>3.5370233143916519E-3</c:v>
                </c:pt>
                <c:pt idx="44">
                  <c:v>3.4673198383714521E-3</c:v>
                </c:pt>
                <c:pt idx="45">
                  <c:v>3.3976940686770707E-3</c:v>
                </c:pt>
                <c:pt idx="46">
                  <c:v>3.3281465616161743E-3</c:v>
                </c:pt>
                <c:pt idx="47">
                  <c:v>3.2586778772318858E-3</c:v>
                </c:pt>
                <c:pt idx="48">
                  <c:v>3.1892885793576298E-3</c:v>
                </c:pt>
                <c:pt idx="49">
                  <c:v>3.1199792354794642E-3</c:v>
                </c:pt>
                <c:pt idx="50">
                  <c:v>3.0507504168295618E-3</c:v>
                </c:pt>
                <c:pt idx="51">
                  <c:v>2.9816026982183441E-3</c:v>
                </c:pt>
                <c:pt idx="52">
                  <c:v>2.9125366580400325E-3</c:v>
                </c:pt>
                <c:pt idx="53">
                  <c:v>2.8435528782111419E-3</c:v>
                </c:pt>
                <c:pt idx="54">
                  <c:v>2.7746519440707829E-3</c:v>
                </c:pt>
                <c:pt idx="55">
                  <c:v>2.7058344443824378E-3</c:v>
                </c:pt>
                <c:pt idx="56">
                  <c:v>2.6371009711483318E-3</c:v>
                </c:pt>
                <c:pt idx="57">
                  <c:v>2.5684521196380761E-3</c:v>
                </c:pt>
                <c:pt idx="58">
                  <c:v>2.4998884881992645E-3</c:v>
                </c:pt>
                <c:pt idx="59">
                  <c:v>2.4314106782068468E-3</c:v>
                </c:pt>
                <c:pt idx="60">
                  <c:v>2.3630192939880779E-3</c:v>
                </c:pt>
                <c:pt idx="61">
                  <c:v>2.2947149426031377E-3</c:v>
                </c:pt>
                <c:pt idx="62">
                  <c:v>2.2264982338457973E-3</c:v>
                </c:pt>
                <c:pt idx="63">
                  <c:v>2.1583697800187096E-3</c:v>
                </c:pt>
                <c:pt idx="64">
                  <c:v>2.0903301958941078E-3</c:v>
                </c:pt>
                <c:pt idx="65">
                  <c:v>2.0223800984600082E-3</c:v>
                </c:pt>
                <c:pt idx="66">
                  <c:v>1.9545201068797979E-3</c:v>
                </c:pt>
                <c:pt idx="67">
                  <c:v>1.8867508422633072E-3</c:v>
                </c:pt>
                <c:pt idx="68">
                  <c:v>1.8190729275526785E-3</c:v>
                </c:pt>
                <c:pt idx="69">
                  <c:v>1.7514869873149763E-3</c:v>
                </c:pt>
                <c:pt idx="70">
                  <c:v>1.6839936476489292E-3</c:v>
                </c:pt>
                <c:pt idx="71">
                  <c:v>1.6165935358638528E-3</c:v>
                </c:pt>
                <c:pt idx="72">
                  <c:v>1.549287280475431E-3</c:v>
                </c:pt>
                <c:pt idx="73">
                  <c:v>1.4820755108702066E-3</c:v>
                </c:pt>
                <c:pt idx="74">
                  <c:v>1.414958857218318E-3</c:v>
                </c:pt>
                <c:pt idx="75">
                  <c:v>1.3479379501624145E-3</c:v>
                </c:pt>
                <c:pt idx="76">
                  <c:v>1.2810134207696944E-3</c:v>
                </c:pt>
                <c:pt idx="77">
                  <c:v>1.2141859001737476E-3</c:v>
                </c:pt>
                <c:pt idx="78">
                  <c:v>1.1474560194724148E-3</c:v>
                </c:pt>
                <c:pt idx="79">
                  <c:v>1.0808244094624442E-3</c:v>
                </c:pt>
                <c:pt idx="80">
                  <c:v>1.0142917004698493E-3</c:v>
                </c:pt>
                <c:pt idx="81">
                  <c:v>9.47858522055256E-4</c:v>
                </c:pt>
                <c:pt idx="82">
                  <c:v>8.8152550290199194E-4</c:v>
                </c:pt>
                <c:pt idx="83">
                  <c:v>8.1529327049811862E-4</c:v>
                </c:pt>
                <c:pt idx="84">
                  <c:v>7.4916245098677337E-4</c:v>
                </c:pt>
                <c:pt idx="85">
                  <c:v>6.8313366890260241E-4</c:v>
                </c:pt>
                <c:pt idx="86">
                  <c:v>6.1720754694682967E-4</c:v>
                </c:pt>
                <c:pt idx="87">
                  <c:v>5.5138470579141341E-4</c:v>
                </c:pt>
                <c:pt idx="88">
                  <c:v>4.8566576383368698E-4</c:v>
                </c:pt>
                <c:pt idx="89">
                  <c:v>4.200513369694292E-4</c:v>
                </c:pt>
                <c:pt idx="90">
                  <c:v>3.5454203839546672E-4</c:v>
                </c:pt>
                <c:pt idx="91">
                  <c:v>2.8913847835210227E-4</c:v>
                </c:pt>
                <c:pt idx="92">
                  <c:v>2.2384126393526493E-4</c:v>
                </c:pt>
                <c:pt idx="93">
                  <c:v>1.5865099882161893E-4</c:v>
                </c:pt>
                <c:pt idx="94">
                  <c:v>9.3568283126677088E-5</c:v>
                </c:pt>
                <c:pt idx="95">
                  <c:v>2.8593713146785049E-5</c:v>
                </c:pt>
                <c:pt idx="96">
                  <c:v>3.627211887091697E-5</c:v>
                </c:pt>
                <c:pt idx="97">
                  <c:v>1.0102862492522569E-4</c:v>
                </c:pt>
                <c:pt idx="98">
                  <c:v>1.6567522143828839E-4</c:v>
                </c:pt>
                <c:pt idx="99">
                  <c:v>2.3021132952583123E-4</c:v>
                </c:pt>
                <c:pt idx="100">
                  <c:v>2.9463637513482688E-4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4-BD4F-8C06-00E3E717B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072879"/>
        <c:axId val="905091855"/>
      </c:scatterChart>
      <c:valAx>
        <c:axId val="90507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91855"/>
        <c:crosses val="autoZero"/>
        <c:crossBetween val="midCat"/>
      </c:valAx>
      <c:valAx>
        <c:axId val="90509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72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'without k'!$G$60</c:f>
              <c:strCache>
                <c:ptCount val="1"/>
                <c:pt idx="0">
                  <c:v>discrepancy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'without k'!$F$61:$F$161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>
                  <c:v>6.1756155744774333E-16</c:v>
                </c:pt>
                <c:pt idx="51">
                  <c:v>2.0000000000000618E-2</c:v>
                </c:pt>
                <c:pt idx="52">
                  <c:v>4.0000000000000618E-2</c:v>
                </c:pt>
                <c:pt idx="53">
                  <c:v>6.0000000000000622E-2</c:v>
                </c:pt>
                <c:pt idx="54">
                  <c:v>8.0000000000000626E-2</c:v>
                </c:pt>
                <c:pt idx="55">
                  <c:v>0.10000000000000063</c:v>
                </c:pt>
                <c:pt idx="56">
                  <c:v>0.12000000000000063</c:v>
                </c:pt>
                <c:pt idx="57">
                  <c:v>0.14000000000000062</c:v>
                </c:pt>
                <c:pt idx="58">
                  <c:v>0.16000000000000061</c:v>
                </c:pt>
                <c:pt idx="59">
                  <c:v>0.1800000000000006</c:v>
                </c:pt>
                <c:pt idx="60">
                  <c:v>0.20000000000000059</c:v>
                </c:pt>
                <c:pt idx="61">
                  <c:v>0.22000000000000058</c:v>
                </c:pt>
                <c:pt idx="62">
                  <c:v>0.24000000000000057</c:v>
                </c:pt>
                <c:pt idx="63">
                  <c:v>0.26000000000000056</c:v>
                </c:pt>
                <c:pt idx="64">
                  <c:v>0.28000000000000058</c:v>
                </c:pt>
                <c:pt idx="65">
                  <c:v>0.3000000000000006</c:v>
                </c:pt>
                <c:pt idx="66">
                  <c:v>0.32000000000000062</c:v>
                </c:pt>
                <c:pt idx="67">
                  <c:v>0.34000000000000064</c:v>
                </c:pt>
                <c:pt idx="68">
                  <c:v>0.36000000000000065</c:v>
                </c:pt>
                <c:pt idx="69">
                  <c:v>0.38000000000000067</c:v>
                </c:pt>
                <c:pt idx="70">
                  <c:v>0.40000000000000069</c:v>
                </c:pt>
                <c:pt idx="71">
                  <c:v>0.42000000000000071</c:v>
                </c:pt>
                <c:pt idx="72">
                  <c:v>0.44000000000000072</c:v>
                </c:pt>
                <c:pt idx="73">
                  <c:v>0.46000000000000074</c:v>
                </c:pt>
                <c:pt idx="74">
                  <c:v>0.48000000000000076</c:v>
                </c:pt>
                <c:pt idx="75">
                  <c:v>0.50000000000000078</c:v>
                </c:pt>
                <c:pt idx="76">
                  <c:v>0.52000000000000079</c:v>
                </c:pt>
                <c:pt idx="77">
                  <c:v>0.54000000000000081</c:v>
                </c:pt>
                <c:pt idx="78">
                  <c:v>0.56000000000000083</c:v>
                </c:pt>
                <c:pt idx="79">
                  <c:v>0.58000000000000085</c:v>
                </c:pt>
                <c:pt idx="80">
                  <c:v>0.60000000000000087</c:v>
                </c:pt>
                <c:pt idx="81">
                  <c:v>0.62000000000000088</c:v>
                </c:pt>
                <c:pt idx="82">
                  <c:v>0.6400000000000009</c:v>
                </c:pt>
                <c:pt idx="83">
                  <c:v>0.66000000000000092</c:v>
                </c:pt>
                <c:pt idx="84">
                  <c:v>0.68000000000000094</c:v>
                </c:pt>
                <c:pt idx="85">
                  <c:v>0.70000000000000095</c:v>
                </c:pt>
                <c:pt idx="86">
                  <c:v>0.72000000000000097</c:v>
                </c:pt>
                <c:pt idx="87">
                  <c:v>0.74000000000000099</c:v>
                </c:pt>
                <c:pt idx="88">
                  <c:v>0.76000000000000101</c:v>
                </c:pt>
                <c:pt idx="89">
                  <c:v>0.78000000000000103</c:v>
                </c:pt>
                <c:pt idx="90">
                  <c:v>0.80000000000000104</c:v>
                </c:pt>
                <c:pt idx="91">
                  <c:v>0.82000000000000106</c:v>
                </c:pt>
                <c:pt idx="92">
                  <c:v>0.84000000000000108</c:v>
                </c:pt>
                <c:pt idx="93">
                  <c:v>0.8600000000000011</c:v>
                </c:pt>
                <c:pt idx="94">
                  <c:v>0.88000000000000111</c:v>
                </c:pt>
                <c:pt idx="95">
                  <c:v>0.90000000000000113</c:v>
                </c:pt>
                <c:pt idx="96">
                  <c:v>0.92000000000000115</c:v>
                </c:pt>
                <c:pt idx="97">
                  <c:v>0.94000000000000117</c:v>
                </c:pt>
                <c:pt idx="98">
                  <c:v>0.96000000000000119</c:v>
                </c:pt>
                <c:pt idx="99">
                  <c:v>0.9800000000000012</c:v>
                </c:pt>
                <c:pt idx="100">
                  <c:v>1.0000000000000011</c:v>
                </c:pt>
              </c:numCache>
            </c:numRef>
          </c:xVal>
          <c:yVal>
            <c:numRef>
              <c:f>'without k'!$G$61:$G$161</c:f>
              <c:numCache>
                <c:formatCode>General</c:formatCode>
                <c:ptCount val="101"/>
                <c:pt idx="0">
                  <c:v>6.2278960035473396E-3</c:v>
                </c:pt>
                <c:pt idx="1">
                  <c:v>6.1043802187863427E-3</c:v>
                </c:pt>
                <c:pt idx="2">
                  <c:v>5.9871745205166693E-3</c:v>
                </c:pt>
                <c:pt idx="3">
                  <c:v>5.8761883211913002E-3</c:v>
                </c:pt>
                <c:pt idx="4">
                  <c:v>5.7713344530074817E-3</c:v>
                </c:pt>
                <c:pt idx="5">
                  <c:v>5.6725290623957925E-3</c:v>
                </c:pt>
                <c:pt idx="6">
                  <c:v>5.5796915020231985E-3</c:v>
                </c:pt>
                <c:pt idx="7">
                  <c:v>5.4927442210637167E-3</c:v>
                </c:pt>
                <c:pt idx="8">
                  <c:v>5.4116126540968423E-3</c:v>
                </c:pt>
                <c:pt idx="9">
                  <c:v>5.33622510933629E-3</c:v>
                </c:pt>
                <c:pt idx="10">
                  <c:v>5.2665126567004172E-3</c:v>
                </c:pt>
                <c:pt idx="11">
                  <c:v>5.202409016173748E-3</c:v>
                </c:pt>
                <c:pt idx="12">
                  <c:v>5.1438504470109336E-3</c:v>
                </c:pt>
                <c:pt idx="13">
                  <c:v>5.0907756382125857E-3</c:v>
                </c:pt>
                <c:pt idx="14">
                  <c:v>5.0431256006642222E-3</c:v>
                </c:pt>
                <c:pt idx="15">
                  <c:v>5.0008435613653202E-3</c:v>
                </c:pt>
                <c:pt idx="16">
                  <c:v>4.9638748600220328E-3</c:v>
                </c:pt>
                <c:pt idx="17">
                  <c:v>4.9321668483410797E-3</c:v>
                </c:pt>
                <c:pt idx="18">
                  <c:v>4.9056687922046649E-3</c:v>
                </c:pt>
                <c:pt idx="19">
                  <c:v>4.8843317770941308E-3</c:v>
                </c:pt>
                <c:pt idx="20">
                  <c:v>4.8681086166064702E-3</c:v>
                </c:pt>
                <c:pt idx="21">
                  <c:v>4.8569537646558913E-3</c:v>
                </c:pt>
                <c:pt idx="22">
                  <c:v>4.850823230913015E-3</c:v>
                </c:pt>
                <c:pt idx="23">
                  <c:v>4.8496745000219388E-3</c:v>
                </c:pt>
                <c:pt idx="24">
                  <c:v>4.8534664543091743E-3</c:v>
                </c:pt>
                <c:pt idx="25">
                  <c:v>4.8621593000681695E-3</c:v>
                </c:pt>
                <c:pt idx="26">
                  <c:v>4.8757144974389544E-3</c:v>
                </c:pt>
                <c:pt idx="27">
                  <c:v>4.8940946937285901E-3</c:v>
                </c:pt>
                <c:pt idx="28">
                  <c:v>4.9172636602516917E-3</c:v>
                </c:pt>
                <c:pt idx="29">
                  <c:v>4.9451862324574325E-3</c:v>
                </c:pt>
                <c:pt idx="30">
                  <c:v>4.977828253294847E-3</c:v>
                </c:pt>
                <c:pt idx="31">
                  <c:v>5.015156519758257E-3</c:v>
                </c:pt>
                <c:pt idx="32">
                  <c:v>5.0571387324436223E-3</c:v>
                </c:pt>
                <c:pt idx="33">
                  <c:v>5.103743447980591E-3</c:v>
                </c:pt>
                <c:pt idx="34">
                  <c:v>5.154940034292288E-3</c:v>
                </c:pt>
                <c:pt idx="35">
                  <c:v>5.2106986284665702E-3</c:v>
                </c:pt>
                <c:pt idx="36">
                  <c:v>5.2709900971454893E-3</c:v>
                </c:pt>
                <c:pt idx="37">
                  <c:v>5.3357859992972934E-3</c:v>
                </c:pt>
                <c:pt idx="38">
                  <c:v>5.4050585513125693E-3</c:v>
                </c:pt>
                <c:pt idx="39">
                  <c:v>5.4787805941602929E-3</c:v>
                </c:pt>
                <c:pt idx="40">
                  <c:v>5.5569255626159997E-3</c:v>
                </c:pt>
                <c:pt idx="41">
                  <c:v>5.6394674563682301E-3</c:v>
                </c:pt>
                <c:pt idx="42">
                  <c:v>5.7263808129346394E-3</c:v>
                </c:pt>
                <c:pt idx="43">
                  <c:v>5.8176406822139093E-3</c:v>
                </c:pt>
                <c:pt idx="44">
                  <c:v>5.9132226026992196E-3</c:v>
                </c:pt>
                <c:pt idx="45">
                  <c:v>6.0131025790226555E-3</c:v>
                </c:pt>
                <c:pt idx="46">
                  <c:v>6.1172570610690258E-3</c:v>
                </c:pt>
                <c:pt idx="47">
                  <c:v>6.2256629242021244E-3</c:v>
                </c:pt>
                <c:pt idx="48">
                  <c:v>6.3382974508630063E-3</c:v>
                </c:pt>
                <c:pt idx="49">
                  <c:v>6.4551383131117301E-3</c:v>
                </c:pt>
                <c:pt idx="50">
                  <c:v>6.5761635564671739E-3</c:v>
                </c:pt>
                <c:pt idx="51">
                  <c:v>6.7013515844671634E-3</c:v>
                </c:pt>
                <c:pt idx="52">
                  <c:v>6.8306811443308302E-3</c:v>
                </c:pt>
                <c:pt idx="53">
                  <c:v>6.9641313134169991E-3</c:v>
                </c:pt>
                <c:pt idx="54">
                  <c:v>7.1016814864499622E-3</c:v>
                </c:pt>
                <c:pt idx="55">
                  <c:v>7.2433113635703705E-3</c:v>
                </c:pt>
                <c:pt idx="56">
                  <c:v>7.389000938961221E-3</c:v>
                </c:pt>
                <c:pt idx="57">
                  <c:v>7.5387304902585495E-3</c:v>
                </c:pt>
                <c:pt idx="58">
                  <c:v>7.6924805684215336E-3</c:v>
                </c:pt>
                <c:pt idx="59">
                  <c:v>7.850231988284051E-3</c:v>
                </c:pt>
                <c:pt idx="60">
                  <c:v>8.0119658195925147E-3</c:v>
                </c:pt>
                <c:pt idx="61">
                  <c:v>8.177663378436284E-3</c:v>
                </c:pt>
                <c:pt idx="62">
                  <c:v>8.3473062193106795E-3</c:v>
                </c:pt>
                <c:pt idx="63">
                  <c:v>8.5208761274335743E-3</c:v>
                </c:pt>
                <c:pt idx="64">
                  <c:v>8.698355111610212E-3</c:v>
                </c:pt>
                <c:pt idx="65">
                  <c:v>8.879725397291871E-3</c:v>
                </c:pt>
                <c:pt idx="66">
                  <c:v>9.0649694201696551E-3</c:v>
                </c:pt>
                <c:pt idx="67">
                  <c:v>9.2540698199379268E-3</c:v>
                </c:pt>
                <c:pt idx="68">
                  <c:v>9.4470094344476507E-3</c:v>
                </c:pt>
                <c:pt idx="69">
                  <c:v>9.6437712940851128E-3</c:v>
                </c:pt>
                <c:pt idx="70">
                  <c:v>9.844338616516124E-3</c:v>
                </c:pt>
                <c:pt idx="71">
                  <c:v>1.0048694801455982E-2</c:v>
                </c:pt>
                <c:pt idx="72">
                  <c:v>1.0256823425993211E-2</c:v>
                </c:pt>
                <c:pt idx="73">
                  <c:v>1.0468708239817381E-2</c:v>
                </c:pt>
                <c:pt idx="74">
                  <c:v>1.068433316087547E-2</c:v>
                </c:pt>
                <c:pt idx="75">
                  <c:v>1.0903682271018011E-2</c:v>
                </c:pt>
                <c:pt idx="76">
                  <c:v>1.1126739812100217E-2</c:v>
                </c:pt>
                <c:pt idx="77">
                  <c:v>1.1353490181917225E-2</c:v>
                </c:pt>
                <c:pt idx="78">
                  <c:v>1.1583917930579224E-2</c:v>
                </c:pt>
                <c:pt idx="79">
                  <c:v>1.1818007756872362E-2</c:v>
                </c:pt>
                <c:pt idx="80">
                  <c:v>1.2055744504848587E-2</c:v>
                </c:pt>
                <c:pt idx="81">
                  <c:v>1.229711316043991E-2</c:v>
                </c:pt>
                <c:pt idx="82">
                  <c:v>1.2542098848360661E-2</c:v>
                </c:pt>
                <c:pt idx="83">
                  <c:v>1.2790686828956899E-2</c:v>
                </c:pt>
                <c:pt idx="84">
                  <c:v>1.304286249529496E-2</c:v>
                </c:pt>
                <c:pt idx="85">
                  <c:v>1.3298611370285762E-2</c:v>
                </c:pt>
                <c:pt idx="86">
                  <c:v>1.3557919103916349E-2</c:v>
                </c:pt>
                <c:pt idx="87">
                  <c:v>1.3820771470625326E-2</c:v>
                </c:pt>
                <c:pt idx="88">
                  <c:v>1.4087154366698051E-2</c:v>
                </c:pt>
                <c:pt idx="89">
                  <c:v>1.4357053807793951E-2</c:v>
                </c:pt>
                <c:pt idx="90">
                  <c:v>1.4630455926564423E-2</c:v>
                </c:pt>
                <c:pt idx="91">
                  <c:v>1.4907346970285618E-2</c:v>
                </c:pt>
                <c:pt idx="92">
                  <c:v>1.5187713298651984E-2</c:v>
                </c:pt>
                <c:pt idx="93">
                  <c:v>1.5471541381521625E-2</c:v>
                </c:pt>
                <c:pt idx="94">
                  <c:v>1.5758817796898361E-2</c:v>
                </c:pt>
                <c:pt idx="95">
                  <c:v>1.6049529228823411E-2</c:v>
                </c:pt>
                <c:pt idx="96">
                  <c:v>1.6343662465383657E-2</c:v>
                </c:pt>
                <c:pt idx="97">
                  <c:v>1.6641204396781184E-2</c:v>
                </c:pt>
                <c:pt idx="98">
                  <c:v>1.6942142013503414E-2</c:v>
                </c:pt>
                <c:pt idx="99">
                  <c:v>1.7246462404430396E-2</c:v>
                </c:pt>
                <c:pt idx="100">
                  <c:v>1.7554152755136387E-2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90-9246-BD89-257061410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794063"/>
        <c:axId val="915795743"/>
      </c:scatterChart>
      <c:valAx>
        <c:axId val="915794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795743"/>
        <c:crosses val="autoZero"/>
        <c:crossBetween val="midCat"/>
      </c:valAx>
      <c:valAx>
        <c:axId val="91579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794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631567</xdr:colOff>
      <xdr:row>63</xdr:row>
      <xdr:rowOff>104345</xdr:rowOff>
    </xdr:from>
    <xdr:to>
      <xdr:col>16</xdr:col>
      <xdr:colOff>205945</xdr:colOff>
      <xdr:row>80</xdr:row>
      <xdr:rowOff>137297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59</xdr:row>
          <xdr:rowOff>12700</xdr:rowOff>
        </xdr:from>
        <xdr:to>
          <xdr:col>10</xdr:col>
          <xdr:colOff>304800</xdr:colOff>
          <xdr:row>60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59</xdr:row>
          <xdr:rowOff>12700</xdr:rowOff>
        </xdr:from>
        <xdr:to>
          <xdr:col>10</xdr:col>
          <xdr:colOff>304800</xdr:colOff>
          <xdr:row>60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508000</xdr:colOff>
      <xdr:row>61</xdr:row>
      <xdr:rowOff>190500</xdr:rowOff>
    </xdr:from>
    <xdr:to>
      <xdr:col>12</xdr:col>
      <xdr:colOff>215900</xdr:colOff>
      <xdr:row>75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76F5-9D85-A94E-B10D-A38A4B8712ED}">
  <sheetPr codeName="Sheet1"/>
  <dimension ref="A1:AB161"/>
  <sheetViews>
    <sheetView tabSelected="1" topLeftCell="B1" zoomScale="74" zoomScaleNormal="74" workbookViewId="0">
      <selection activeCell="D12" sqref="D12"/>
    </sheetView>
  </sheetViews>
  <sheetFormatPr baseColWidth="10" defaultRowHeight="16" x14ac:dyDescent="0.2"/>
  <cols>
    <col min="4" max="4" width="10.5" customWidth="1"/>
    <col min="7" max="7" width="11.1640625" customWidth="1"/>
    <col min="8" max="8" width="13.5" bestFit="1" customWidth="1"/>
    <col min="9" max="9" width="13.1640625" bestFit="1" customWidth="1"/>
    <col min="10" max="11" width="12" bestFit="1" customWidth="1"/>
    <col min="12" max="15" width="13.1640625" bestFit="1" customWidth="1"/>
    <col min="16" max="27" width="11" bestFit="1" customWidth="1"/>
  </cols>
  <sheetData>
    <row r="1" spans="1:28" x14ac:dyDescent="0.2">
      <c r="C1" s="7"/>
    </row>
    <row r="2" spans="1:28" ht="19" x14ac:dyDescent="0.2">
      <c r="A2" s="1"/>
      <c r="G2" t="s">
        <v>20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</row>
    <row r="3" spans="1:28" ht="19" x14ac:dyDescent="0.2">
      <c r="A3" s="1"/>
      <c r="C3" s="2" t="s">
        <v>0</v>
      </c>
      <c r="D3" s="2">
        <v>120</v>
      </c>
      <c r="F3" s="2">
        <v>24</v>
      </c>
      <c r="G3">
        <f t="shared" ref="G3:G25" si="0">G4+$D$19</f>
        <v>9.5890410958904092E-5</v>
      </c>
      <c r="H3">
        <v>0</v>
      </c>
      <c r="I3">
        <f t="array" ref="I3:AA3">TRANSPOSE(MMULT(Sheet2!$B$44:'Sheet2'!$T$62,TRANSPOSE(I4:AA4))+MMULT(Sheet2!$B$90:'Sheet2'!$T$108,TRANSPOSE(Sheet2!B65:'Sheet2'!T65)))</f>
        <v>3.388737637701862E-6</v>
      </c>
      <c r="J3">
        <v>1.4131523528653098E-5</v>
      </c>
      <c r="K3">
        <v>4.968092278559014E-5</v>
      </c>
      <c r="L3">
        <v>1.5309594044526407E-4</v>
      </c>
      <c r="M3">
        <v>4.1489095673396349E-4</v>
      </c>
      <c r="N3">
        <v>9.9156586151362804E-4</v>
      </c>
      <c r="O3">
        <v>2.0989411342412462E-3</v>
      </c>
      <c r="P3">
        <v>3.9605698049803842E-3</v>
      </c>
      <c r="Q3">
        <v>6.721422078309682E-3</v>
      </c>
      <c r="R3">
        <v>1.0376716538220972E-2</v>
      </c>
      <c r="S3">
        <v>1.4768944549594341E-2</v>
      </c>
      <c r="T3">
        <v>1.9656444495752406E-2</v>
      </c>
      <c r="U3">
        <v>2.4803049544807852E-2</v>
      </c>
      <c r="V3">
        <v>3.0035106066553269E-2</v>
      </c>
      <c r="W3">
        <v>3.5251097449945236E-2</v>
      </c>
      <c r="X3">
        <v>4.0402739211041226E-2</v>
      </c>
      <c r="Y3">
        <v>4.5471357489395431E-2</v>
      </c>
      <c r="Z3">
        <v>5.0451435184894304E-2</v>
      </c>
      <c r="AA3">
        <v>5.5342257400298522E-2</v>
      </c>
      <c r="AB3">
        <f t="shared" ref="AB3:AB25" si="1">EXP(0.5*($D$23+1)*$AB$28+($D$23+1)^2*G3/4)-EXP(0.5*($D$23-1)*$AB$28+($D$23-1)^2*G3/4)</f>
        <v>6.014456593865436E-2</v>
      </c>
    </row>
    <row r="4" spans="1:28" x14ac:dyDescent="0.2">
      <c r="C4" s="2" t="s">
        <v>1</v>
      </c>
      <c r="D4" s="2">
        <v>0.02</v>
      </c>
      <c r="F4" s="2">
        <v>23</v>
      </c>
      <c r="G4">
        <f t="shared" si="0"/>
        <v>9.1894977168949758E-5</v>
      </c>
      <c r="H4">
        <v>0</v>
      </c>
      <c r="I4">
        <f t="array" ref="I4:AA4">TRANSPOSE(MMULT(Sheet2!$B$44:'Sheet2'!$T$62,TRANSPOSE(I5:AA5))+MMULT(Sheet2!$B$90:'Sheet2'!$T$108,TRANSPOSE(Sheet2!B66:'Sheet2'!T66)))</f>
        <v>2.6556610679334711E-6</v>
      </c>
      <c r="J4">
        <v>1.1562167292425927E-5</v>
      </c>
      <c r="K4">
        <v>4.2377228021353675E-5</v>
      </c>
      <c r="L4">
        <v>1.3546991011313136E-4</v>
      </c>
      <c r="M4">
        <v>3.7885737841773711E-4</v>
      </c>
      <c r="N4">
        <v>9.2949831488684258E-4</v>
      </c>
      <c r="O4">
        <v>2.0093808602292449E-3</v>
      </c>
      <c r="P4">
        <v>3.8529317972716966E-3</v>
      </c>
      <c r="Q4">
        <v>6.6142975259669279E-3</v>
      </c>
      <c r="R4">
        <v>1.028909988157797E-2</v>
      </c>
      <c r="S4">
        <v>1.4710997665411264E-2</v>
      </c>
      <c r="T4">
        <v>1.9627000724561038E-2</v>
      </c>
      <c r="U4">
        <v>2.479406685424455E-2</v>
      </c>
      <c r="V4">
        <v>3.0037727176289473E-2</v>
      </c>
      <c r="W4">
        <v>3.5259037648707463E-2</v>
      </c>
      <c r="X4">
        <v>4.0412643115916164E-2</v>
      </c>
      <c r="Y4">
        <v>4.54817993204263E-2</v>
      </c>
      <c r="Z4">
        <v>5.0461919438371111E-2</v>
      </c>
      <c r="AA4">
        <v>5.5352641739268862E-2</v>
      </c>
      <c r="AB4">
        <f t="shared" si="1"/>
        <v>6.01548181806566E-2</v>
      </c>
    </row>
    <row r="5" spans="1:28" x14ac:dyDescent="0.2">
      <c r="B5" t="s">
        <v>6</v>
      </c>
      <c r="C5" s="2" t="s">
        <v>2</v>
      </c>
      <c r="D5" s="2">
        <v>5.0000000000000001E-3</v>
      </c>
      <c r="F5" s="2">
        <v>22</v>
      </c>
      <c r="G5">
        <f t="shared" si="0"/>
        <v>8.7899543378995424E-5</v>
      </c>
      <c r="H5">
        <v>0</v>
      </c>
      <c r="I5">
        <f t="array" ref="I5:AA5">TRANSPOSE(MMULT(Sheet2!$B$44:'Sheet2'!$T$62,TRANSPOSE(I6:AA6))+MMULT(Sheet2!$B$90:'Sheet2'!$T$108,TRANSPOSE(Sheet2!B67:'Sheet2'!T67)))</f>
        <v>2.041749498110609E-6</v>
      </c>
      <c r="J5">
        <v>9.3182402511424815E-6</v>
      </c>
      <c r="K5">
        <v>3.5728394602384684E-5</v>
      </c>
      <c r="L5">
        <v>1.1883225584274577E-4</v>
      </c>
      <c r="M5">
        <v>3.4380315376305464E-4</v>
      </c>
      <c r="N5">
        <v>8.6767670310609467E-4</v>
      </c>
      <c r="O5">
        <v>1.9186948080205254E-3</v>
      </c>
      <c r="P5">
        <v>3.74298066366313E-3</v>
      </c>
      <c r="Q5">
        <v>6.5048050239020841E-3</v>
      </c>
      <c r="R5">
        <v>1.0200257199347014E-2</v>
      </c>
      <c r="S5">
        <v>1.4653258958042906E-2</v>
      </c>
      <c r="T5">
        <v>1.9598590896399981E-2</v>
      </c>
      <c r="U5">
        <v>2.4786169612355372E-2</v>
      </c>
      <c r="V5">
        <v>3.0041087046050366E-2</v>
      </c>
      <c r="W5">
        <v>3.5267355322907382E-2</v>
      </c>
      <c r="X5">
        <v>4.0422699912348217E-2</v>
      </c>
      <c r="Y5">
        <v>4.5492291553379222E-2</v>
      </c>
      <c r="Z5">
        <v>5.0472417337445265E-2</v>
      </c>
      <c r="AA5">
        <v>5.5363028950293922E-2</v>
      </c>
      <c r="AB5">
        <f t="shared" si="1"/>
        <v>6.0165070214008853E-2</v>
      </c>
    </row>
    <row r="6" spans="1:28" x14ac:dyDescent="0.2">
      <c r="C6" s="2" t="s">
        <v>3</v>
      </c>
      <c r="D6" s="2">
        <v>119</v>
      </c>
      <c r="F6" s="2">
        <v>21</v>
      </c>
      <c r="G6">
        <f t="shared" si="0"/>
        <v>8.3904109589041091E-5</v>
      </c>
      <c r="H6">
        <v>0</v>
      </c>
      <c r="I6">
        <f t="array" ref="I6:AA6">TRANSPOSE(MMULT(Sheet2!$B$44:'Sheet2'!$T$62,TRANSPOSE(I7:AA7))+MMULT(Sheet2!$B$90:'Sheet2'!$T$108,TRANSPOSE(Sheet2!B68:'Sheet2'!T68)))</f>
        <v>1.5362004433979905E-6</v>
      </c>
      <c r="J6">
        <v>7.3831495730508921E-6</v>
      </c>
      <c r="K6">
        <v>2.9730356235791864E-5</v>
      </c>
      <c r="L6">
        <v>1.0322202804562822E-4</v>
      </c>
      <c r="M6">
        <v>3.0982000940403369E-4</v>
      </c>
      <c r="N6">
        <v>8.0618768479091439E-4</v>
      </c>
      <c r="O6">
        <v>1.8268639360724608E-3</v>
      </c>
      <c r="P6">
        <v>3.630569661779175E-3</v>
      </c>
      <c r="Q6">
        <v>6.3927888574938883E-3</v>
      </c>
      <c r="R6">
        <v>1.0110154814303694E-2</v>
      </c>
      <c r="S6">
        <v>1.4595811670548995E-2</v>
      </c>
      <c r="T6">
        <v>1.957131380844368E-2</v>
      </c>
      <c r="U6">
        <v>2.4779404000803897E-2</v>
      </c>
      <c r="V6">
        <v>3.0045183651457724E-2</v>
      </c>
      <c r="W6">
        <v>3.5276032099662943E-2</v>
      </c>
      <c r="X6">
        <v>4.0432894841335262E-2</v>
      </c>
      <c r="Y6">
        <v>4.5502826796909382E-2</v>
      </c>
      <c r="Z6">
        <v>5.0482926150120476E-2</v>
      </c>
      <c r="AA6">
        <v>5.5373418273308148E-2</v>
      </c>
      <c r="AB6">
        <f t="shared" si="1"/>
        <v>6.0175322038715007E-2</v>
      </c>
    </row>
    <row r="7" spans="1:28" x14ac:dyDescent="0.2">
      <c r="C7" s="2" t="s">
        <v>4</v>
      </c>
      <c r="D7" s="2">
        <v>0.1</v>
      </c>
      <c r="F7" s="2">
        <v>20</v>
      </c>
      <c r="G7">
        <f t="shared" si="0"/>
        <v>7.9908675799086757E-5</v>
      </c>
      <c r="H7">
        <v>0</v>
      </c>
      <c r="I7">
        <f t="array" ref="I7:AA7">TRANSPOSE(MMULT(Sheet2!$B$44:'Sheet2'!$T$62,TRANSPOSE(I8:AA8))+MMULT(Sheet2!$B$90:'Sheet2'!$T$108,TRANSPOSE(Sheet2!B69:'Sheet2'!T69)))</f>
        <v>1.1277675366856086E-6</v>
      </c>
      <c r="J7">
        <v>5.7381874482916383E-6</v>
      </c>
      <c r="K7">
        <v>2.4374977802378177E-5</v>
      </c>
      <c r="L7">
        <v>8.8676358627035528E-5</v>
      </c>
      <c r="M7">
        <v>2.7700670311485355E-4</v>
      </c>
      <c r="N7">
        <v>7.4513169000027426E-4</v>
      </c>
      <c r="O7">
        <v>1.7338729195198624E-3</v>
      </c>
      <c r="P7">
        <v>3.5155360202226396E-3</v>
      </c>
      <c r="Q7">
        <v>6.2780754861217472E-3</v>
      </c>
      <c r="R7">
        <v>1.0018760416498931E-2</v>
      </c>
      <c r="S7">
        <v>1.4538753065079436E-2</v>
      </c>
      <c r="T7">
        <v>1.9545276756047614E-2</v>
      </c>
      <c r="U7">
        <v>2.4773814885306236E-2</v>
      </c>
      <c r="V7">
        <v>3.0050010649495171E-2</v>
      </c>
      <c r="W7">
        <v>3.5285047251671038E-2</v>
      </c>
      <c r="X7">
        <v>4.0443212867118702E-2</v>
      </c>
      <c r="Y7">
        <v>4.5513398066667904E-2</v>
      </c>
      <c r="Z7">
        <v>5.0493443473058008E-2</v>
      </c>
      <c r="AA7">
        <v>5.5383809083564293E-2</v>
      </c>
      <c r="AB7">
        <f t="shared" si="1"/>
        <v>6.0185573654778279E-2</v>
      </c>
    </row>
    <row r="8" spans="1:28" x14ac:dyDescent="0.2">
      <c r="C8" s="2" t="s">
        <v>5</v>
      </c>
      <c r="D8" s="2">
        <v>7</v>
      </c>
      <c r="F8" s="2">
        <v>19</v>
      </c>
      <c r="G8">
        <f t="shared" si="0"/>
        <v>7.5913242009132423E-5</v>
      </c>
      <c r="H8">
        <v>0</v>
      </c>
      <c r="I8">
        <f t="array" ref="I8:AA8">TRANSPOSE(MMULT(Sheet2!$B$44:'Sheet2'!$T$62,TRANSPOSE(I9:AA9))+MMULT(Sheet2!$B$90:'Sheet2'!$T$108,TRANSPOSE(Sheet2!B70:'Sheet2'!T70)))</f>
        <v>8.0493445693307621E-7</v>
      </c>
      <c r="J8">
        <v>4.362623095582397E-6</v>
      </c>
      <c r="K8">
        <v>1.9649563665424063E-5</v>
      </c>
      <c r="L8">
        <v>7.5229474013371178E-5</v>
      </c>
      <c r="M8">
        <v>2.45469158011822E-4</v>
      </c>
      <c r="N8">
        <v>6.8462524063330995E-4</v>
      </c>
      <c r="O8">
        <v>1.6397116660913779E-3</v>
      </c>
      <c r="P8">
        <v>3.3976984149289317E-3</v>
      </c>
      <c r="Q8">
        <v>6.1604705500234776E-3</v>
      </c>
      <c r="R8">
        <v>9.9260441324887337E-3</v>
      </c>
      <c r="S8">
        <v>1.4482196978757755E-2</v>
      </c>
      <c r="T8">
        <v>1.9520595954335619E-2</v>
      </c>
      <c r="U8">
        <v>2.4769444801323461E-2</v>
      </c>
      <c r="V8">
        <v>3.0055556765731788E-2</v>
      </c>
      <c r="W8">
        <v>3.5294377744116243E-2</v>
      </c>
      <c r="X8">
        <v>4.0453638870345185E-2</v>
      </c>
      <c r="Y8">
        <v>4.5523998871564608E-2</v>
      </c>
      <c r="Z8">
        <v>5.050396723748031E-2</v>
      </c>
      <c r="AA8">
        <v>5.5394200881839266E-2</v>
      </c>
      <c r="AB8">
        <f t="shared" si="1"/>
        <v>6.0195825062202446E-2</v>
      </c>
    </row>
    <row r="9" spans="1:28" x14ac:dyDescent="0.2">
      <c r="F9" s="2">
        <v>18</v>
      </c>
      <c r="G9">
        <f t="shared" si="0"/>
        <v>7.1917808219178089E-5</v>
      </c>
      <c r="H9">
        <v>0</v>
      </c>
      <c r="I9">
        <f t="array" ref="I9:AA9">TRANSPOSE(MMULT(Sheet2!$B$44:'Sheet2'!$T$62,TRANSPOSE(I10:AA10))+MMULT(Sheet2!$B$90:'Sheet2'!$T$108,TRANSPOSE(Sheet2!B71:'Sheet2'!T71)))</f>
        <v>5.5611715865445179E-7</v>
      </c>
      <c r="J9">
        <v>3.2338659011752676E-6</v>
      </c>
      <c r="K9">
        <v>1.5536375183812784E-5</v>
      </c>
      <c r="L9">
        <v>6.2911488555293587E-5</v>
      </c>
      <c r="M9">
        <v>2.1532040455330656E-4</v>
      </c>
      <c r="N9">
        <v>6.2480367990779581E-4</v>
      </c>
      <c r="O9">
        <v>1.5443773449156078E-3</v>
      </c>
      <c r="P9">
        <v>3.2768539239582768E-3</v>
      </c>
      <c r="Q9">
        <v>6.0397551983631366E-3</v>
      </c>
      <c r="R9">
        <v>9.8319800146276903E-3</v>
      </c>
      <c r="S9">
        <v>1.4426276892373441E-2</v>
      </c>
      <c r="T9">
        <v>1.9497396813638622E-2</v>
      </c>
      <c r="U9">
        <v>2.476633268243569E-2</v>
      </c>
      <c r="V9">
        <v>3.0061805169750516E-2</v>
      </c>
      <c r="W9">
        <v>3.5303998357729627E-2</v>
      </c>
      <c r="X9">
        <v>4.0464157869434844E-2</v>
      </c>
      <c r="Y9">
        <v>4.553462329293282E-2</v>
      </c>
      <c r="Z9">
        <v>5.0514495706655962E-2</v>
      </c>
      <c r="AA9">
        <v>5.5404593282024336E-2</v>
      </c>
      <c r="AB9">
        <f t="shared" si="1"/>
        <v>6.0206076260990615E-2</v>
      </c>
    </row>
    <row r="10" spans="1:28" x14ac:dyDescent="0.2">
      <c r="C10" s="2" t="s">
        <v>7</v>
      </c>
      <c r="D10" s="2">
        <v>20</v>
      </c>
      <c r="F10" s="2">
        <v>17</v>
      </c>
      <c r="G10">
        <f t="shared" si="0"/>
        <v>6.7922374429223755E-5</v>
      </c>
      <c r="H10">
        <v>0</v>
      </c>
      <c r="I10">
        <f t="array" ref="I10:AA10">TRANSPOSE(MMULT(Sheet2!$B$44:'Sheet2'!$T$62,TRANSPOSE(I11:AA11))+MMULT(Sheet2!$B$90:'Sheet2'!$T$108,TRANSPOSE(Sheet2!B72:'Sheet2'!T72)))</f>
        <v>3.6989028180320868E-7</v>
      </c>
      <c r="J10">
        <v>2.3277120556120605E-6</v>
      </c>
      <c r="K10">
        <v>1.2012185601180087E-5</v>
      </c>
      <c r="L10">
        <v>5.1746948968935681E-5</v>
      </c>
      <c r="M10">
        <v>1.8668023739751161E-4</v>
      </c>
      <c r="N10">
        <v>5.6582437300321407E-4</v>
      </c>
      <c r="O10">
        <v>1.4478771133924378E-3</v>
      </c>
      <c r="P10">
        <v>3.152774328287246E-3</v>
      </c>
      <c r="Q10">
        <v>5.9156815405184936E-3</v>
      </c>
      <c r="R10">
        <v>9.7365481190404592E-3</v>
      </c>
      <c r="S10">
        <v>1.4371149615459409E-2</v>
      </c>
      <c r="T10">
        <v>1.9475813975845278E-2</v>
      </c>
      <c r="U10">
        <v>2.4764512286638191E-2</v>
      </c>
      <c r="V10">
        <v>3.0068732867168116E-2</v>
      </c>
      <c r="W10">
        <v>3.5313881905058762E-2</v>
      </c>
      <c r="X10">
        <v>4.0474755266301496E-2</v>
      </c>
      <c r="Y10">
        <v>4.5545266052053696E-2</v>
      </c>
      <c r="Z10">
        <v>5.0525027464484354E-2</v>
      </c>
      <c r="AA10">
        <v>5.5414985996661358E-2</v>
      </c>
      <c r="AB10">
        <f t="shared" si="1"/>
        <v>6.0216327251146784E-2</v>
      </c>
    </row>
    <row r="11" spans="1:28" x14ac:dyDescent="0.2">
      <c r="C11" s="2" t="s">
        <v>8</v>
      </c>
      <c r="D11" s="2">
        <v>24</v>
      </c>
      <c r="F11" s="2">
        <v>16</v>
      </c>
      <c r="G11">
        <f t="shared" si="0"/>
        <v>6.3926940639269422E-5</v>
      </c>
      <c r="H11">
        <v>0</v>
      </c>
      <c r="I11">
        <f t="array" ref="I11:AA11">TRANSPOSE(MMULT(Sheet2!$B$44:'Sheet2'!$T$62,TRANSPOSE(I12:AA12))+MMULT(Sheet2!$B$90:'Sheet2'!$T$108,TRANSPOSE(Sheet2!B73:'Sheet2'!T73)))</f>
        <v>2.352306292198964E-7</v>
      </c>
      <c r="J11">
        <v>1.6186859758117488E-6</v>
      </c>
      <c r="K11">
        <v>9.0479111908827425E-6</v>
      </c>
      <c r="L11">
        <v>4.1753104980659438E-5</v>
      </c>
      <c r="M11">
        <v>1.5967446017259299E-4</v>
      </c>
      <c r="N11">
        <v>5.0787043977221593E-4</v>
      </c>
      <c r="O11">
        <v>1.3502318009703542E-3</v>
      </c>
      <c r="P11">
        <v>3.0252015872435306E-3</v>
      </c>
      <c r="Q11">
        <v>5.7879669508791179E-3</v>
      </c>
      <c r="R11">
        <v>9.6397374157436658E-3</v>
      </c>
      <c r="S11">
        <v>1.4316999706103362E-2</v>
      </c>
      <c r="T11">
        <v>1.9455990978925679E-2</v>
      </c>
      <c r="U11">
        <v>2.4764010276095441E-2</v>
      </c>
      <c r="V11">
        <v>3.0076310149536628E-2</v>
      </c>
      <c r="W11">
        <v>3.5323999556968695E-2</v>
      </c>
      <c r="X11">
        <v>4.0485417109528986E-2</v>
      </c>
      <c r="Y11">
        <v>4.5555922561161533E-2</v>
      </c>
      <c r="Z11">
        <v>5.0535561395186057E-2</v>
      </c>
      <c r="AA11">
        <v>5.5425378821158937E-2</v>
      </c>
      <c r="AB11">
        <f t="shared" si="1"/>
        <v>6.0226578032674061E-2</v>
      </c>
    </row>
    <row r="12" spans="1:28" x14ac:dyDescent="0.2">
      <c r="A12" s="3" t="s">
        <v>29</v>
      </c>
      <c r="C12" s="3" t="s">
        <v>27</v>
      </c>
      <c r="D12" s="3" t="s">
        <v>29</v>
      </c>
      <c r="F12" s="2">
        <v>15</v>
      </c>
      <c r="G12">
        <f t="shared" si="0"/>
        <v>5.9931506849315088E-5</v>
      </c>
      <c r="H12">
        <v>0</v>
      </c>
      <c r="I12">
        <f t="array" ref="I12:AA12">TRANSPOSE(MMULT(Sheet2!$B$44:'Sheet2'!$T$62,TRANSPOSE(I13:AA13))+MMULT(Sheet2!$B$90:'Sheet2'!$T$108,TRANSPOSE(Sheet2!B74:'Sheet2'!T74)))</f>
        <v>1.4176712406216642E-7</v>
      </c>
      <c r="J12">
        <v>1.0804849659938228E-6</v>
      </c>
      <c r="K12">
        <v>6.6083703167689725E-6</v>
      </c>
      <c r="L12">
        <v>3.2937892066862653E-5</v>
      </c>
      <c r="M12">
        <v>1.3443354682220575E-4</v>
      </c>
      <c r="N12">
        <v>4.5115506947459726E-4</v>
      </c>
      <c r="O12">
        <v>1.2514809144412678E-3</v>
      </c>
      <c r="P12">
        <v>2.8938422659598251E-3</v>
      </c>
      <c r="Q12">
        <v>5.6562868544512224E-3</v>
      </c>
      <c r="R12">
        <v>9.5415498863578689E-3</v>
      </c>
      <c r="S12">
        <v>1.4264044754346276E-2</v>
      </c>
      <c r="T12">
        <v>1.9438079362325521E-2</v>
      </c>
      <c r="U12">
        <v>2.4764843912153302E-2</v>
      </c>
      <c r="V12">
        <v>3.008450015961606E-2</v>
      </c>
      <c r="W12">
        <v>3.5334321294420157E-2</v>
      </c>
      <c r="X12">
        <v>4.0496130364432545E-2</v>
      </c>
      <c r="Y12">
        <v>4.5566588953081105E-2</v>
      </c>
      <c r="Z12">
        <v>5.0546096654717293E-2</v>
      </c>
      <c r="AA12">
        <v>5.5435771617551435E-2</v>
      </c>
      <c r="AB12">
        <f t="shared" si="1"/>
        <v>6.0236828605576109E-2</v>
      </c>
    </row>
    <row r="13" spans="1:28" x14ac:dyDescent="0.2">
      <c r="A13" s="3" t="s">
        <v>30</v>
      </c>
      <c r="C13" s="3" t="s">
        <v>9</v>
      </c>
      <c r="D13" s="3">
        <f>IF(D12="Explicit",0,IF(D12="Implicit",1,0.5))</f>
        <v>0</v>
      </c>
      <c r="F13" s="2">
        <v>14</v>
      </c>
      <c r="G13">
        <f t="shared" si="0"/>
        <v>5.5936073059360747E-5</v>
      </c>
      <c r="H13">
        <v>0</v>
      </c>
      <c r="I13">
        <f t="array" ref="I13:AA13">TRANSPOSE(MMULT(Sheet2!$B$44:'Sheet2'!$T$62,TRANSPOSE(I14:AA14))+MMULT(Sheet2!$B$90:'Sheet2'!$T$108,TRANSPOSE(Sheet2!B75:'Sheet2'!T75)))</f>
        <v>8.0022937438071978E-8</v>
      </c>
      <c r="J13">
        <v>6.8653023656681084E-7</v>
      </c>
      <c r="K13">
        <v>4.6522364432808307E-6</v>
      </c>
      <c r="L13">
        <v>2.5297632675468579E-5</v>
      </c>
      <c r="M13">
        <v>1.1109049150714807E-4</v>
      </c>
      <c r="N13">
        <v>3.9592643843195405E-4</v>
      </c>
      <c r="O13">
        <v>1.1516894823247624E-3</v>
      </c>
      <c r="P13">
        <v>2.7583606248199055E-3</v>
      </c>
      <c r="Q13">
        <v>5.5202654703778746E-3</v>
      </c>
      <c r="R13">
        <v>9.4420063342824153E-3</v>
      </c>
      <c r="S13">
        <v>1.4212541657071542E-2</v>
      </c>
      <c r="T13">
        <v>1.9422236952262025E-2</v>
      </c>
      <c r="U13">
        <v>2.4767018343908879E-2</v>
      </c>
      <c r="V13">
        <v>3.009325864889692E-2</v>
      </c>
      <c r="W13">
        <v>3.5344816495656448E-2</v>
      </c>
      <c r="X13">
        <v>4.0506883175298623E-2</v>
      </c>
      <c r="Y13">
        <v>4.557726208521324E-2</v>
      </c>
      <c r="Z13">
        <v>5.0556632635230983E-2</v>
      </c>
      <c r="AA13">
        <v>5.5446164298726446E-2</v>
      </c>
      <c r="AB13">
        <f t="shared" si="1"/>
        <v>6.0247078969856482E-2</v>
      </c>
    </row>
    <row r="14" spans="1:28" x14ac:dyDescent="0.2">
      <c r="A14" s="3" t="s">
        <v>28</v>
      </c>
      <c r="C14" s="4" t="s">
        <v>12</v>
      </c>
      <c r="D14" s="4">
        <v>-0.05</v>
      </c>
      <c r="F14" s="2">
        <v>13</v>
      </c>
      <c r="G14">
        <f t="shared" si="0"/>
        <v>5.1940639269406407E-5</v>
      </c>
      <c r="H14">
        <v>0</v>
      </c>
      <c r="I14">
        <f t="array" ref="I14:AA14">TRANSPOSE(MMULT(Sheet2!$B$44:'Sheet2'!$T$62,TRANSPOSE(I15:AA15))+MMULT(Sheet2!$B$90:'Sheet2'!$T$108,TRANSPOSE(Sheet2!B76:'Sheet2'!T76)))</f>
        <v>4.1631943716103647E-8</v>
      </c>
      <c r="J14">
        <v>4.1061871919046496E-7</v>
      </c>
      <c r="K14">
        <v>3.1322658348741304E-6</v>
      </c>
      <c r="L14">
        <v>1.8814497570896743E-5</v>
      </c>
      <c r="M14">
        <v>8.9777548990644805E-5</v>
      </c>
      <c r="N14">
        <v>3.4247319014981862E-4</v>
      </c>
      <c r="O14">
        <v>1.0509574786426482E-3</v>
      </c>
      <c r="P14">
        <v>2.618369992771936E-3</v>
      </c>
      <c r="Q14">
        <v>5.3794637680239883E-3</v>
      </c>
      <c r="R14">
        <v>9.3411546916368441E-3</v>
      </c>
      <c r="S14">
        <v>1.4162793986210813E-2</v>
      </c>
      <c r="T14">
        <v>1.9408624968630064E-2</v>
      </c>
      <c r="U14">
        <v>2.4770523501788076E-2</v>
      </c>
      <c r="V14">
        <v>3.0102534025895338E-2</v>
      </c>
      <c r="W14">
        <v>3.5355454659837186E-2</v>
      </c>
      <c r="X14">
        <v>4.051766510089308E-2</v>
      </c>
      <c r="Y14">
        <v>4.5587939514854632E-2</v>
      </c>
      <c r="Z14">
        <v>5.05671689246368E-2</v>
      </c>
      <c r="AA14">
        <v>5.5456556814015075E-2</v>
      </c>
      <c r="AB14">
        <f t="shared" si="1"/>
        <v>6.0257329125518733E-2</v>
      </c>
    </row>
    <row r="15" spans="1:28" x14ac:dyDescent="0.2">
      <c r="C15" s="4" t="s">
        <v>10</v>
      </c>
      <c r="D15" s="4">
        <f>LN(D3/D6)</f>
        <v>8.3682496705165792E-3</v>
      </c>
      <c r="F15" s="2">
        <v>12</v>
      </c>
      <c r="G15">
        <f t="shared" si="0"/>
        <v>4.7945205479452066E-5</v>
      </c>
      <c r="H15">
        <v>0</v>
      </c>
      <c r="I15">
        <f t="array" ref="I15:AA15">TRANSPOSE(MMULT(Sheet2!$B$44:'Sheet2'!$T$62,TRANSPOSE(I16:AA16))+MMULT(Sheet2!$B$90:'Sheet2'!$T$108,TRANSPOSE(Sheet2!B77:'Sheet2'!T77)))</f>
        <v>1.9509014323792946E-8</v>
      </c>
      <c r="J15">
        <v>2.2765726736246173E-7</v>
      </c>
      <c r="K15">
        <v>1.9958931731239628E-6</v>
      </c>
      <c r="L15">
        <v>1.3453825683145101E-5</v>
      </c>
      <c r="M15">
        <v>7.0621485235787545E-5</v>
      </c>
      <c r="N15">
        <v>2.9113031988370829E-4</v>
      </c>
      <c r="O15">
        <v>9.4943289281486083E-4</v>
      </c>
      <c r="P15">
        <v>2.4734219325686854E-3</v>
      </c>
      <c r="Q15">
        <v>5.2333635555026929E-3</v>
      </c>
      <c r="R15">
        <v>9.2390820092246653E-3</v>
      </c>
      <c r="S15">
        <v>1.4115160475509498E-2</v>
      </c>
      <c r="T15">
        <v>1.9397403470761996E-2</v>
      </c>
      <c r="U15">
        <v>2.4775330666670516E-2</v>
      </c>
      <c r="V15">
        <v>3.0112267815206928E-2</v>
      </c>
      <c r="W15">
        <v>3.5366206253536911E-2</v>
      </c>
      <c r="X15">
        <v>4.0528467300752866E-2</v>
      </c>
      <c r="Y15">
        <v>4.5598619444945164E-2</v>
      </c>
      <c r="Z15">
        <v>5.0577705263965052E-2</v>
      </c>
      <c r="AA15">
        <v>5.546694913689916E-2</v>
      </c>
      <c r="AB15">
        <f t="shared" si="1"/>
        <v>6.0267579072566191E-2</v>
      </c>
    </row>
    <row r="16" spans="1:28" x14ac:dyDescent="0.2">
      <c r="C16" s="4" t="s">
        <v>11</v>
      </c>
      <c r="D16" s="4">
        <f>(D15-D14)/10</f>
        <v>5.8368249670516584E-3</v>
      </c>
      <c r="F16" s="2">
        <v>11</v>
      </c>
      <c r="G16">
        <f t="shared" si="0"/>
        <v>4.3949771689497726E-5</v>
      </c>
      <c r="H16">
        <v>0</v>
      </c>
      <c r="I16">
        <f t="array" ref="I16:AA16">TRANSPOSE(MMULT(Sheet2!$B$44:'Sheet2'!$T$62,TRANSPOSE(I17:AA17))+MMULT(Sheet2!$B$90:'Sheet2'!$T$108,TRANSPOSE(Sheet2!B78:'Sheet2'!T78)))</f>
        <v>7.952891154993644E-9</v>
      </c>
      <c r="J16">
        <v>1.1444328782746742E-7</v>
      </c>
      <c r="K16">
        <v>1.1862940367680185E-6</v>
      </c>
      <c r="L16">
        <v>9.1614875590886688E-6</v>
      </c>
      <c r="M16">
        <v>5.3736870037862496E-5</v>
      </c>
      <c r="N16">
        <v>2.4228509175723231E-4</v>
      </c>
      <c r="O16">
        <v>8.4732999369633113E-4</v>
      </c>
      <c r="P16">
        <v>2.3229925619828009E-3</v>
      </c>
      <c r="Q16">
        <v>5.0813461086865394E-3</v>
      </c>
      <c r="R16">
        <v>9.1359319458908985E-3</v>
      </c>
      <c r="S16">
        <v>1.4070064477640875E-2</v>
      </c>
      <c r="T16">
        <v>1.9388724508266363E-2</v>
      </c>
      <c r="U16">
        <v>2.478138888293591E-2</v>
      </c>
      <c r="V16">
        <v>3.0122395663621942E-2</v>
      </c>
      <c r="W16">
        <v>3.5377043645210951E-2</v>
      </c>
      <c r="X16">
        <v>4.0539282647916917E-2</v>
      </c>
      <c r="Y16">
        <v>4.560930064230679E-2</v>
      </c>
      <c r="Z16">
        <v>5.0588241505674411E-2</v>
      </c>
      <c r="AA16">
        <v>5.5477341255339402E-2</v>
      </c>
      <c r="AB16">
        <f t="shared" si="1"/>
        <v>6.0277828811002521E-2</v>
      </c>
    </row>
    <row r="17" spans="3:28" x14ac:dyDescent="0.2">
      <c r="C17" s="4" t="s">
        <v>15</v>
      </c>
      <c r="D17" s="4">
        <f>D15+D16*10</f>
        <v>6.6736499341033165E-2</v>
      </c>
      <c r="F17" s="2">
        <v>10</v>
      </c>
      <c r="G17">
        <f t="shared" si="0"/>
        <v>3.9954337899543385E-5</v>
      </c>
      <c r="H17">
        <v>0</v>
      </c>
      <c r="I17">
        <f t="array" ref="I17:AA17">TRANSPOSE(MMULT(Sheet2!$B$44:'Sheet2'!$T$62,TRANSPOSE(I18:AA18))+MMULT(Sheet2!$B$90:'Sheet2'!$T$108,TRANSPOSE(Sheet2!B79:'Sheet2'!T79)))</f>
        <v>2.662742339230698E-9</v>
      </c>
      <c r="J17">
        <v>5.0433870986505027E-8</v>
      </c>
      <c r="K17">
        <v>6.4400467423108267E-7</v>
      </c>
      <c r="L17">
        <v>5.8616038192059564E-6</v>
      </c>
      <c r="M17">
        <v>3.9216867081819395E-5</v>
      </c>
      <c r="N17">
        <v>1.9638223953900136E-4</v>
      </c>
      <c r="O17">
        <v>7.4495504921822634E-4</v>
      </c>
      <c r="P17">
        <v>2.1664652193782771E-3</v>
      </c>
      <c r="Q17">
        <v>4.9226629538914784E-3</v>
      </c>
      <c r="R17">
        <v>9.031930572893811E-3</v>
      </c>
      <c r="S17">
        <v>1.4028003889259684E-2</v>
      </c>
      <c r="T17">
        <v>1.9382722176706349E-2</v>
      </c>
      <c r="U17">
        <v>2.4788621536782053E-2</v>
      </c>
      <c r="V17">
        <v>3.0132849031833449E-2</v>
      </c>
      <c r="W17">
        <v>3.5387942064334411E-2</v>
      </c>
      <c r="X17">
        <v>4.0550105745112183E-2</v>
      </c>
      <c r="Y17">
        <v>4.5619982334101764E-2</v>
      </c>
      <c r="Z17">
        <v>5.0598777576102524E-2</v>
      </c>
      <c r="AA17">
        <v>5.5487733164892777E-2</v>
      </c>
      <c r="AB17">
        <f t="shared" si="1"/>
        <v>6.0288078340831275E-2</v>
      </c>
    </row>
    <row r="18" spans="3:28" x14ac:dyDescent="0.2">
      <c r="C18" s="4" t="s">
        <v>13</v>
      </c>
      <c r="D18" s="4">
        <f>D7*D7*D8/365/2</f>
        <v>9.5890410958904119E-5</v>
      </c>
      <c r="F18" s="2">
        <v>9</v>
      </c>
      <c r="G18">
        <f t="shared" si="0"/>
        <v>3.5958904109589045E-5</v>
      </c>
      <c r="H18">
        <v>0</v>
      </c>
      <c r="I18">
        <f t="array" ref="I18:AA18">TRANSPOSE(MMULT(Sheet2!$B$44:'Sheet2'!$T$62,TRANSPOSE(I19:AA19))+MMULT(Sheet2!$B$90:'Sheet2'!$T$108,TRANSPOSE(Sheet2!B80:'Sheet2'!T80)))</f>
        <v>6.5634818028697508E-10</v>
      </c>
      <c r="J18">
        <v>1.8420949069488165E-8</v>
      </c>
      <c r="K18">
        <v>3.0915542263584806E-7</v>
      </c>
      <c r="L18">
        <v>3.4551043565044491E-6</v>
      </c>
      <c r="M18">
        <v>2.7120950025637854E-5</v>
      </c>
      <c r="N18">
        <v>1.5392705097350682E-4</v>
      </c>
      <c r="O18">
        <v>6.4274282561653268E-4</v>
      </c>
      <c r="P18">
        <v>2.0031084617476011E-3</v>
      </c>
      <c r="Q18">
        <v>4.7563951641589677E-3</v>
      </c>
      <c r="R18">
        <v>8.9274249114334285E-3</v>
      </c>
      <c r="S18">
        <v>1.398956035586448E-2</v>
      </c>
      <c r="T18">
        <v>1.9379498630769761E-2</v>
      </c>
      <c r="U18">
        <v>2.4796923647627565E-2</v>
      </c>
      <c r="V18">
        <v>3.0143557683695636E-2</v>
      </c>
      <c r="W18">
        <v>3.5398880487913557E-2</v>
      </c>
      <c r="X18">
        <v>4.0560932827803722E-2</v>
      </c>
      <c r="Y18">
        <v>4.5630664092115872E-2</v>
      </c>
      <c r="Z18">
        <v>5.0609313444797493E-2</v>
      </c>
      <c r="AA18">
        <v>5.5498124864419948E-2</v>
      </c>
      <c r="AB18">
        <f t="shared" si="1"/>
        <v>6.0298327662055784E-2</v>
      </c>
    </row>
    <row r="19" spans="3:28" x14ac:dyDescent="0.2">
      <c r="C19" s="4" t="s">
        <v>14</v>
      </c>
      <c r="D19" s="4">
        <f>D18/D11</f>
        <v>3.995433789954338E-6</v>
      </c>
      <c r="F19" s="2">
        <v>8</v>
      </c>
      <c r="G19">
        <f t="shared" si="0"/>
        <v>3.1963470319634704E-5</v>
      </c>
      <c r="H19">
        <v>0</v>
      </c>
      <c r="I19">
        <f t="array" ref="I19:AA19">TRANSPOSE(MMULT(Sheet2!$B$44:'Sheet2'!$T$62,TRANSPOSE(I20:AA20))+MMULT(Sheet2!$B$90:'Sheet2'!$T$108,TRANSPOSE(Sheet2!B81:'Sheet2'!T81)))</f>
        <v>9.024036421454031E-11</v>
      </c>
      <c r="J19">
        <v>5.0076058148365904E-9</v>
      </c>
      <c r="K19">
        <v>1.242987422660677E-7</v>
      </c>
      <c r="L19">
        <v>1.8198378899067547E-6</v>
      </c>
      <c r="M19">
        <v>1.7459073909001149E-5</v>
      </c>
      <c r="N19">
        <v>1.1548382600867733E-4</v>
      </c>
      <c r="O19">
        <v>5.4130877863833859E-4</v>
      </c>
      <c r="P19">
        <v>1.8320481855168148E-3</v>
      </c>
      <c r="Q19">
        <v>4.5813955240260624E-3</v>
      </c>
      <c r="R19">
        <v>8.8229412194817669E-3</v>
      </c>
      <c r="S19">
        <v>1.3955405281052741E-2</v>
      </c>
      <c r="T19">
        <v>1.9379105064461499E-2</v>
      </c>
      <c r="U19">
        <v>2.4806160734762897E-2</v>
      </c>
      <c r="V19">
        <v>3.0154453007403315E-2</v>
      </c>
      <c r="W19">
        <v>3.5409842322513929E-2</v>
      </c>
      <c r="X19">
        <v>4.0571761550672519E-2</v>
      </c>
      <c r="Y19">
        <v>4.5641345717682545E-2</v>
      </c>
      <c r="Z19">
        <v>5.0619849102423446E-2</v>
      </c>
      <c r="AA19">
        <v>5.5508516353862253E-2</v>
      </c>
      <c r="AB19">
        <f t="shared" si="1"/>
        <v>6.0308576774679823E-2</v>
      </c>
    </row>
    <row r="20" spans="3:28" x14ac:dyDescent="0.2">
      <c r="C20" s="4" t="s">
        <v>16</v>
      </c>
      <c r="D20" s="4">
        <f>D19/(D16*D16)</f>
        <v>0.11727639245697463</v>
      </c>
      <c r="F20" s="2">
        <v>7</v>
      </c>
      <c r="G20">
        <f t="shared" si="0"/>
        <v>2.7968036529680364E-5</v>
      </c>
      <c r="H20">
        <v>0</v>
      </c>
      <c r="I20">
        <f t="array" ref="I20:AA20">TRANSPOSE(MMULT(Sheet2!$B$44:'Sheet2'!$T$62,TRANSPOSE(I21:AA21))+MMULT(Sheet2!$B$90:'Sheet2'!$T$108,TRANSPOSE(Sheet2!B82:'Sheet2'!T82)))</f>
        <v>0</v>
      </c>
      <c r="J20">
        <v>7.6946742924111458E-10</v>
      </c>
      <c r="K20">
        <v>3.7676969946407766E-8</v>
      </c>
      <c r="L20">
        <v>8.1319665608304411E-7</v>
      </c>
      <c r="M20">
        <v>1.0172210536867752E-5</v>
      </c>
      <c r="N20">
        <v>8.1665326767421957E-5</v>
      </c>
      <c r="O20">
        <v>4.4152423028685805E-4</v>
      </c>
      <c r="P20">
        <v>1.6522325354715837E-3</v>
      </c>
      <c r="Q20">
        <v>4.39620466535317E-3</v>
      </c>
      <c r="R20">
        <v>8.7192742997971862E-3</v>
      </c>
      <c r="S20">
        <v>1.3926297793263705E-2</v>
      </c>
      <c r="T20">
        <v>1.9381516913993521E-2</v>
      </c>
      <c r="U20">
        <v>2.4816170518667694E-2</v>
      </c>
      <c r="V20">
        <v>3.0165472044418822E-2</v>
      </c>
      <c r="W20">
        <v>3.5420815725929908E-2</v>
      </c>
      <c r="X20">
        <v>4.0582590674756724E-2</v>
      </c>
      <c r="Y20">
        <v>4.5652027141325241E-2</v>
      </c>
      <c r="Z20">
        <v>5.0630384547403262E-2</v>
      </c>
      <c r="AA20">
        <v>5.5518907633384171E-2</v>
      </c>
      <c r="AB20">
        <f t="shared" si="1"/>
        <v>6.0318825678706722E-2</v>
      </c>
    </row>
    <row r="21" spans="3:28" x14ac:dyDescent="0.2">
      <c r="C21" s="4" t="s">
        <v>17</v>
      </c>
      <c r="D21" s="4">
        <f>EXP(D14)*D6</f>
        <v>113.19630151558496</v>
      </c>
      <c r="F21" s="2">
        <v>6</v>
      </c>
      <c r="G21">
        <f t="shared" si="0"/>
        <v>2.3972602739726026E-5</v>
      </c>
      <c r="H21">
        <v>0</v>
      </c>
      <c r="I21">
        <f t="array" ref="I21:AA21">TRANSPOSE(MMULT(Sheet2!$B$44:'Sheet2'!$T$62,TRANSPOSE(I22:AA22))+MMULT(Sheet2!$B$90:'Sheet2'!$T$108,TRANSPOSE(Sheet2!B83:'Sheet2'!T83)))</f>
        <v>0</v>
      </c>
      <c r="J21">
        <v>0</v>
      </c>
      <c r="K21">
        <v>6.5611451130150532E-9</v>
      </c>
      <c r="L21">
        <v>2.7844273692043388E-7</v>
      </c>
      <c r="M21">
        <v>5.1100989599162759E-6</v>
      </c>
      <c r="N21">
        <v>5.3105698674852498E-5</v>
      </c>
      <c r="O21">
        <v>3.4462539982433086E-4</v>
      </c>
      <c r="P21">
        <v>1.4623883749394248E-3</v>
      </c>
      <c r="Q21">
        <v>4.1989269327175633E-3</v>
      </c>
      <c r="R21">
        <v>8.6176261410970765E-3</v>
      </c>
      <c r="S21">
        <v>1.3903065505534868E-2</v>
      </c>
      <c r="T21">
        <v>1.9386603457779761E-2</v>
      </c>
      <c r="U21">
        <v>2.4826769136375409E-2</v>
      </c>
      <c r="V21">
        <v>3.0176561829533245E-2</v>
      </c>
      <c r="W21">
        <v>3.5431793418942141E-2</v>
      </c>
      <c r="X21">
        <v>4.0593419698857408E-2</v>
      </c>
      <c r="Y21">
        <v>4.5662708349060402E-2</v>
      </c>
      <c r="Z21">
        <v>5.0640919779787345E-2</v>
      </c>
      <c r="AA21">
        <v>5.5529298703192329E-2</v>
      </c>
      <c r="AB21">
        <f t="shared" si="1"/>
        <v>6.0329074374139924E-2</v>
      </c>
    </row>
    <row r="22" spans="3:28" x14ac:dyDescent="0.2">
      <c r="C22" s="4" t="s">
        <v>18</v>
      </c>
      <c r="D22" s="4">
        <f>EXP(D17)*D6</f>
        <v>127.21263687239281</v>
      </c>
      <c r="F22" s="2">
        <v>5</v>
      </c>
      <c r="G22">
        <f t="shared" si="0"/>
        <v>1.9977168949771689E-5</v>
      </c>
      <c r="H22">
        <v>0</v>
      </c>
      <c r="I22">
        <f t="array" ref="I22:AA22">TRANSPOSE(MMULT(Sheet2!$B$44:'Sheet2'!$T$62,TRANSPOSE(I23:AA23))+MMULT(Sheet2!$B$90:'Sheet2'!$T$108,TRANSPOSE(Sheet2!B84:'Sheet2'!T84)))</f>
        <v>0</v>
      </c>
      <c r="J22">
        <v>0</v>
      </c>
      <c r="K22">
        <v>0</v>
      </c>
      <c r="L22">
        <v>5.5946000516874278E-8</v>
      </c>
      <c r="M22">
        <v>2.0090916994742279E-6</v>
      </c>
      <c r="N22">
        <v>3.0404108566831641E-5</v>
      </c>
      <c r="O22">
        <v>2.5237252611966308E-4</v>
      </c>
      <c r="P22">
        <v>1.2609687702277213E-3</v>
      </c>
      <c r="Q22">
        <v>3.9870428501721667E-3</v>
      </c>
      <c r="R22">
        <v>8.5198239587552273E-3</v>
      </c>
      <c r="S22">
        <v>1.3886551101086976E-2</v>
      </c>
      <c r="T22">
        <v>1.9394094345465442E-2</v>
      </c>
      <c r="U22">
        <v>2.4837763799656933E-2</v>
      </c>
      <c r="V22">
        <v>3.0187683241154624E-2</v>
      </c>
      <c r="W22">
        <v>3.5442771903939005E-2</v>
      </c>
      <c r="X22">
        <v>4.0604248504083486E-2</v>
      </c>
      <c r="Y22">
        <v>4.5673389340829956E-2</v>
      </c>
      <c r="Z22">
        <v>5.0651454799609988E-2</v>
      </c>
      <c r="AA22">
        <v>5.5539689563550869E-2</v>
      </c>
      <c r="AB22">
        <f t="shared" si="1"/>
        <v>6.033932286098298E-2</v>
      </c>
    </row>
    <row r="23" spans="3:28" x14ac:dyDescent="0.2">
      <c r="C23" s="4" t="s">
        <v>19</v>
      </c>
      <c r="D23" s="4">
        <f>2*(D5-D4)/D7/D7</f>
        <v>-2.9999999999999996</v>
      </c>
      <c r="F23" s="2">
        <v>4</v>
      </c>
      <c r="G23">
        <f t="shared" si="0"/>
        <v>1.5981735159817352E-5</v>
      </c>
      <c r="H23">
        <v>0</v>
      </c>
      <c r="I23">
        <f t="array" ref="I23:AA23">TRANSPOSE(MMULT(Sheet2!$B$44:'Sheet2'!$T$62,TRANSPOSE(I24:AA24))+MMULT(Sheet2!$B$90:'Sheet2'!$T$108,TRANSPOSE(Sheet2!B85:'Sheet2'!T85)))</f>
        <v>0</v>
      </c>
      <c r="J23">
        <v>0</v>
      </c>
      <c r="K23">
        <v>0</v>
      </c>
      <c r="L23">
        <v>0</v>
      </c>
      <c r="M23">
        <v>4.7704400983684137E-7</v>
      </c>
      <c r="N23">
        <v>1.4017652284744772E-5</v>
      </c>
      <c r="O23">
        <v>1.6728336583263925E-4</v>
      </c>
      <c r="P23">
        <v>1.0460928866582056E-3</v>
      </c>
      <c r="Q23">
        <v>3.7571201204249986E-3</v>
      </c>
      <c r="R23">
        <v>8.428667497506398E-3</v>
      </c>
      <c r="S23">
        <v>1.387749373983148E-2</v>
      </c>
      <c r="T23">
        <v>1.9403550881451317E-2</v>
      </c>
      <c r="U23">
        <v>2.4848973414623887E-2</v>
      </c>
      <c r="V23">
        <v>3.0198813071037479E-2</v>
      </c>
      <c r="W23">
        <v>3.5453750167356204E-2</v>
      </c>
      <c r="X23">
        <v>4.0615077090414946E-2</v>
      </c>
      <c r="Y23">
        <v>4.5684070116560602E-2</v>
      </c>
      <c r="Z23">
        <v>5.0661989606874479E-2</v>
      </c>
      <c r="AA23">
        <v>5.5550080214803815E-2</v>
      </c>
      <c r="AB23">
        <f t="shared" si="1"/>
        <v>6.0349571139239666E-2</v>
      </c>
    </row>
    <row r="24" spans="3:28" x14ac:dyDescent="0.2">
      <c r="C24" s="4" t="s">
        <v>31</v>
      </c>
      <c r="D24" s="4">
        <f>2*D5/D7/D7</f>
        <v>0.99999999999999989</v>
      </c>
      <c r="F24" s="2">
        <v>3</v>
      </c>
      <c r="G24">
        <f t="shared" si="0"/>
        <v>1.1986301369863015E-5</v>
      </c>
      <c r="H24">
        <v>0</v>
      </c>
      <c r="I24">
        <f t="array" ref="I24:AA24">TRANSPOSE(MMULT(Sheet2!$B$44:'Sheet2'!$T$62,TRANSPOSE(I25:AA25))+MMULT(Sheet2!$B$90:'Sheet2'!$T$108,TRANSPOSE(Sheet2!B86:'Sheet2'!T86)))</f>
        <v>0</v>
      </c>
      <c r="J24">
        <v>0</v>
      </c>
      <c r="K24">
        <v>0</v>
      </c>
      <c r="L24">
        <v>0</v>
      </c>
      <c r="M24">
        <v>0</v>
      </c>
      <c r="N24">
        <v>4.0676900085569667E-6</v>
      </c>
      <c r="O24">
        <v>9.2977367971664655E-5</v>
      </c>
      <c r="P24">
        <v>8.1548427982168037E-4</v>
      </c>
      <c r="Q24">
        <v>3.5043597165317088E-3</v>
      </c>
      <c r="R24">
        <v>8.3484890675026152E-3</v>
      </c>
      <c r="S24">
        <v>1.3876289090157926E-2</v>
      </c>
      <c r="T24">
        <v>1.9414360998299438E-2</v>
      </c>
      <c r="U24">
        <v>2.4860256496324246E-2</v>
      </c>
      <c r="V24">
        <v>3.0209942676651124E-2</v>
      </c>
      <c r="W24">
        <v>3.5464728209196494E-2</v>
      </c>
      <c r="X24">
        <v>4.0625905457838341E-2</v>
      </c>
      <c r="Y24">
        <v>4.5694750676166684E-2</v>
      </c>
      <c r="Z24">
        <v>5.0672524201528277E-2</v>
      </c>
      <c r="AA24">
        <v>5.5560470657408156E-2</v>
      </c>
      <c r="AB24">
        <f t="shared" si="1"/>
        <v>6.035981920891309E-2</v>
      </c>
    </row>
    <row r="25" spans="3:28" x14ac:dyDescent="0.2">
      <c r="F25" s="2">
        <v>2</v>
      </c>
      <c r="G25">
        <f t="shared" si="0"/>
        <v>7.990867579908676E-6</v>
      </c>
      <c r="H25">
        <v>0</v>
      </c>
      <c r="I25">
        <f t="array" ref="I25:AA25">TRANSPOSE(MMULT(Sheet2!$B$44:'Sheet2'!$T$62,TRANSPOSE(I26:AA26))+MMULT(Sheet2!$B$90:'Sheet2'!$T$108,TRANSPOSE(Sheet2!B87:'Sheet2'!T87)))</f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3.4684644738277451E-5</v>
      </c>
      <c r="P25">
        <v>5.6642348778652713E-4</v>
      </c>
      <c r="Q25">
        <v>3.2218701531616491E-3</v>
      </c>
      <c r="R25">
        <v>8.2860672707959302E-3</v>
      </c>
      <c r="S25">
        <v>1.3882526640013246E-2</v>
      </c>
      <c r="T25">
        <v>1.9425799261884039E-2</v>
      </c>
      <c r="U25">
        <v>2.4871539351034769E-2</v>
      </c>
      <c r="V25">
        <v>3.0221072057999326E-2</v>
      </c>
      <c r="W25">
        <v>3.5475706029463601E-2</v>
      </c>
      <c r="X25">
        <v>4.0636733606349042E-2</v>
      </c>
      <c r="Y25">
        <v>4.5705431019560011E-2</v>
      </c>
      <c r="Z25">
        <v>5.06830585834213E-2</v>
      </c>
      <c r="AA25">
        <v>5.5570860891983341E-2</v>
      </c>
      <c r="AB25">
        <f t="shared" si="1"/>
        <v>6.0370067070007027E-2</v>
      </c>
    </row>
    <row r="26" spans="3:28" x14ac:dyDescent="0.2">
      <c r="F26" s="2">
        <v>1</v>
      </c>
      <c r="G26">
        <f>G27+$D$19</f>
        <v>3.995433789954338E-6</v>
      </c>
      <c r="H26">
        <v>0</v>
      </c>
      <c r="I26">
        <f t="array" ref="I26:AA26">TRANSPOSE(MMULT(Sheet2!$B$44:'Sheet2'!$T$62,TRANSPOSE(I27:AA27))+MMULT(Sheet2!$B$90:'Sheet2'!$T$108,TRANSPOSE(Sheet2!B88:'Sheet2'!T88)))</f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2.9575129326221607E-4</v>
      </c>
      <c r="Q26">
        <v>2.8994879265715609E-3</v>
      </c>
      <c r="R26">
        <v>8.2521343774161014E-3</v>
      </c>
      <c r="S26">
        <v>1.3894122038958921E-2</v>
      </c>
      <c r="T26">
        <v>1.9437237295725739E-2</v>
      </c>
      <c r="U26">
        <v>2.4882821978759271E-2</v>
      </c>
      <c r="V26">
        <v>3.0232201215085852E-2</v>
      </c>
      <c r="W26">
        <v>3.548668362816125E-2</v>
      </c>
      <c r="X26">
        <v>4.0647561535950741E-2</v>
      </c>
      <c r="Y26">
        <v>4.5716111146673379E-2</v>
      </c>
      <c r="Z26">
        <v>5.0693592752236435E-2</v>
      </c>
      <c r="AA26">
        <v>5.5581250919386677E-2</v>
      </c>
      <c r="AB26">
        <f>EXP(0.5*($D$23+1)*$AB$28+($D$23+1)^2*G26/4)-EXP(0.5*($D$23-1)*$AB$28+($D$23-1)^2*G26/4)</f>
        <v>6.038031472252503E-2</v>
      </c>
    </row>
    <row r="27" spans="3:28" x14ac:dyDescent="0.2">
      <c r="C27" s="4" t="s">
        <v>32</v>
      </c>
      <c r="D27">
        <f>R32</f>
        <v>1.2550680112095165</v>
      </c>
      <c r="F27" s="2">
        <v>0</v>
      </c>
      <c r="G27">
        <v>0</v>
      </c>
      <c r="H27">
        <f t="shared" ref="H27:AA27" si="2">MAX(EXP(H28*($D$23+1)/2)-EXP(H28*($D$23-1)/2),0)</f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>
        <f t="shared" si="2"/>
        <v>0</v>
      </c>
      <c r="N27">
        <f t="shared" si="2"/>
        <v>0</v>
      </c>
      <c r="O27">
        <f t="shared" si="2"/>
        <v>0</v>
      </c>
      <c r="P27">
        <f t="shared" si="2"/>
        <v>0</v>
      </c>
      <c r="Q27">
        <f t="shared" si="2"/>
        <v>2.5218314365418326E-3</v>
      </c>
      <c r="R27">
        <f t="shared" si="2"/>
        <v>8.2638888888888484E-3</v>
      </c>
      <c r="S27">
        <f t="shared" si="2"/>
        <v>1.3905717205375812E-2</v>
      </c>
      <c r="T27">
        <f t="shared" si="2"/>
        <v>1.9448675099828394E-2</v>
      </c>
      <c r="U27">
        <f t="shared" si="2"/>
        <v>2.4894104379501569E-2</v>
      </c>
      <c r="V27">
        <f t="shared" si="2"/>
        <v>3.0243330147914471E-2</v>
      </c>
      <c r="W27">
        <f t="shared" si="2"/>
        <v>3.5497661005293168E-2</v>
      </c>
      <c r="X27">
        <f t="shared" si="2"/>
        <v>4.0658389246647109E-2</v>
      </c>
      <c r="Y27">
        <f t="shared" si="2"/>
        <v>4.572679105751043E-2</v>
      </c>
      <c r="Z27">
        <f t="shared" si="2"/>
        <v>5.0704126707373232E-2</v>
      </c>
      <c r="AA27">
        <f t="shared" si="2"/>
        <v>5.5591640740829673E-2</v>
      </c>
      <c r="AB27">
        <f>MAX(EXP(AB28*($D$23+1)/2)-EXP(AB28*($D$23-1)/2),0)</f>
        <v>6.0390562166470318E-2</v>
      </c>
    </row>
    <row r="28" spans="3:28" x14ac:dyDescent="0.2">
      <c r="C28" s="4" t="s">
        <v>33</v>
      </c>
      <c r="D28">
        <f>bscall(D3,D5,D4,D7,D6,D8)</f>
        <v>1.2520172607926838</v>
      </c>
      <c r="G28" s="6" t="s">
        <v>24</v>
      </c>
      <c r="H28">
        <f>D14</f>
        <v>-0.05</v>
      </c>
      <c r="I28">
        <f>H28+$D$16</f>
        <v>-4.4163175032948344E-2</v>
      </c>
      <c r="J28">
        <f t="shared" ref="J28:AB28" si="3">I28+$D$16</f>
        <v>-3.8326350065896686E-2</v>
      </c>
      <c r="K28">
        <f t="shared" si="3"/>
        <v>-3.2489525098845028E-2</v>
      </c>
      <c r="L28">
        <f t="shared" si="3"/>
        <v>-2.6652700131793369E-2</v>
      </c>
      <c r="M28">
        <f t="shared" si="3"/>
        <v>-2.0815875164741711E-2</v>
      </c>
      <c r="N28">
        <f t="shared" si="3"/>
        <v>-1.4979050197690053E-2</v>
      </c>
      <c r="O28">
        <f t="shared" si="3"/>
        <v>-9.1422252306383942E-3</v>
      </c>
      <c r="P28">
        <f t="shared" si="3"/>
        <v>-3.3054002635867358E-3</v>
      </c>
      <c r="Q28">
        <f t="shared" si="3"/>
        <v>2.5314247034649226E-3</v>
      </c>
      <c r="R28">
        <f>Q28+$D$16</f>
        <v>8.368249670516581E-3</v>
      </c>
      <c r="S28">
        <f t="shared" si="3"/>
        <v>1.4205074637568239E-2</v>
      </c>
      <c r="T28">
        <f t="shared" si="3"/>
        <v>2.0041899604619898E-2</v>
      </c>
      <c r="U28">
        <f t="shared" si="3"/>
        <v>2.5878724571671556E-2</v>
      </c>
      <c r="V28">
        <f t="shared" si="3"/>
        <v>3.1715549538723214E-2</v>
      </c>
      <c r="W28">
        <f t="shared" si="3"/>
        <v>3.7552374505774873E-2</v>
      </c>
      <c r="X28">
        <f t="shared" si="3"/>
        <v>4.3389199472826531E-2</v>
      </c>
      <c r="Y28">
        <f t="shared" si="3"/>
        <v>4.922602443987819E-2</v>
      </c>
      <c r="Z28">
        <f t="shared" si="3"/>
        <v>5.5062849406929848E-2</v>
      </c>
      <c r="AA28">
        <f>Z28+$D$16</f>
        <v>6.0899674373981506E-2</v>
      </c>
      <c r="AB28">
        <f t="shared" si="3"/>
        <v>6.6736499341033165E-2</v>
      </c>
    </row>
    <row r="29" spans="3:28" x14ac:dyDescent="0.2">
      <c r="C29" s="4" t="s">
        <v>34</v>
      </c>
      <c r="D29">
        <f>ABS(D27-D28)</f>
        <v>3.0507504168326705E-3</v>
      </c>
    </row>
    <row r="31" spans="3:28" x14ac:dyDescent="0.2">
      <c r="G31" t="s">
        <v>20</v>
      </c>
      <c r="H31">
        <v>0</v>
      </c>
      <c r="I31">
        <v>1</v>
      </c>
      <c r="J31">
        <v>2</v>
      </c>
      <c r="K31">
        <v>3</v>
      </c>
      <c r="L31">
        <v>4</v>
      </c>
      <c r="M31">
        <v>5</v>
      </c>
      <c r="N31">
        <v>6</v>
      </c>
      <c r="O31">
        <v>7</v>
      </c>
      <c r="P31">
        <v>8</v>
      </c>
      <c r="Q31">
        <v>9</v>
      </c>
      <c r="R31">
        <v>10</v>
      </c>
      <c r="S31">
        <v>11</v>
      </c>
      <c r="T31">
        <v>12</v>
      </c>
      <c r="U31">
        <v>13</v>
      </c>
      <c r="V31">
        <v>14</v>
      </c>
      <c r="W31">
        <v>15</v>
      </c>
      <c r="X31">
        <v>16</v>
      </c>
      <c r="Y31">
        <v>17</v>
      </c>
      <c r="Z31">
        <v>18</v>
      </c>
      <c r="AA31">
        <v>19</v>
      </c>
      <c r="AB31">
        <v>20</v>
      </c>
    </row>
    <row r="32" spans="3:28" x14ac:dyDescent="0.2">
      <c r="F32" s="2">
        <v>24</v>
      </c>
      <c r="G32">
        <f t="shared" ref="G32:G54" si="4">G33+$D$19</f>
        <v>9.5890410958904092E-5</v>
      </c>
      <c r="H32">
        <f t="shared" ref="H32:H55" si="5">$D$6*EXP(-($D$23-1)/2*H$57-(($D$23-1)^2/4+$D$4)*$G32)*H3</f>
        <v>0</v>
      </c>
      <c r="I32">
        <f t="shared" ref="I32:AB32" si="6">$D$6*EXP(-($D$23-1)/2*I$57-(($D$23-1)^2/4+$D$24)*$G32)*I3</f>
        <v>3.6899207423583011E-4</v>
      </c>
      <c r="J32">
        <f t="shared" si="6"/>
        <v>1.5568181253763033E-3</v>
      </c>
      <c r="K32">
        <f t="shared" si="6"/>
        <v>5.5374312720085387E-3</v>
      </c>
      <c r="L32">
        <f t="shared" si="6"/>
        <v>1.7264427114923191E-2</v>
      </c>
      <c r="M32">
        <f t="shared" si="6"/>
        <v>4.7336077499386037E-2</v>
      </c>
      <c r="N32">
        <f t="shared" si="6"/>
        <v>0.11445892597967587</v>
      </c>
      <c r="O32">
        <f t="shared" si="6"/>
        <v>0.2451309570648082</v>
      </c>
      <c r="P32">
        <f t="shared" si="6"/>
        <v>0.46797793416748784</v>
      </c>
      <c r="Q32">
        <f t="shared" si="6"/>
        <v>0.80352366842870382</v>
      </c>
      <c r="R32" s="3">
        <f t="shared" si="6"/>
        <v>1.2550680112095165</v>
      </c>
      <c r="S32">
        <f t="shared" si="6"/>
        <v>1.8072846875605324</v>
      </c>
      <c r="T32">
        <f t="shared" si="6"/>
        <v>2.4336150091967856</v>
      </c>
      <c r="U32">
        <f t="shared" si="6"/>
        <v>3.1068607844603537</v>
      </c>
      <c r="V32">
        <f t="shared" si="6"/>
        <v>3.8064110397679802</v>
      </c>
      <c r="W32">
        <f t="shared" si="6"/>
        <v>4.5199013717264682</v>
      </c>
      <c r="X32">
        <f t="shared" si="6"/>
        <v>5.2412747725098168</v>
      </c>
      <c r="Y32">
        <f t="shared" si="6"/>
        <v>5.9680690505193503</v>
      </c>
      <c r="Z32">
        <f t="shared" si="6"/>
        <v>6.6994514837753547</v>
      </c>
      <c r="AA32">
        <f t="shared" si="6"/>
        <v>7.4351955126880043</v>
      </c>
      <c r="AB32">
        <f t="shared" si="6"/>
        <v>8.1752627526338681</v>
      </c>
    </row>
    <row r="33" spans="6:28" x14ac:dyDescent="0.2">
      <c r="F33" s="2">
        <v>23</v>
      </c>
      <c r="G33">
        <f t="shared" si="4"/>
        <v>9.1894977168949758E-5</v>
      </c>
      <c r="H33">
        <f t="shared" si="5"/>
        <v>0</v>
      </c>
      <c r="I33">
        <f t="shared" ref="I33:AB33" si="7">$D$6*EXP(-($D$23-1)/2*I$57-(($D$23-1)^2/4+$D$24)*$G33)*I4</f>
        <v>2.8917478036729228E-4</v>
      </c>
      <c r="J33">
        <f t="shared" si="7"/>
        <v>1.2737870173335913E-3</v>
      </c>
      <c r="K33">
        <f t="shared" si="7"/>
        <v>4.7234564580907233E-3</v>
      </c>
      <c r="L33">
        <f t="shared" si="7"/>
        <v>1.5277068130533126E-2</v>
      </c>
      <c r="M33">
        <f t="shared" si="7"/>
        <v>4.3225768606172617E-2</v>
      </c>
      <c r="N33">
        <f t="shared" si="7"/>
        <v>0.10729645738235108</v>
      </c>
      <c r="O33">
        <f t="shared" si="7"/>
        <v>0.23467608758614575</v>
      </c>
      <c r="P33">
        <f t="shared" si="7"/>
        <v>0.4552686034324423</v>
      </c>
      <c r="Q33">
        <f t="shared" si="7"/>
        <v>0.7907330807131826</v>
      </c>
      <c r="R33">
        <f t="shared" si="7"/>
        <v>1.2444956028327856</v>
      </c>
      <c r="S33">
        <f t="shared" si="7"/>
        <v>1.800229655387273</v>
      </c>
      <c r="T33">
        <f t="shared" si="7"/>
        <v>2.4300181942576984</v>
      </c>
      <c r="U33">
        <f t="shared" si="7"/>
        <v>3.1057976459109526</v>
      </c>
      <c r="V33">
        <f t="shared" si="7"/>
        <v>3.8068192671317029</v>
      </c>
      <c r="W33">
        <f t="shared" si="7"/>
        <v>4.5210097813600063</v>
      </c>
      <c r="X33">
        <f t="shared" si="7"/>
        <v>5.2426642963277388</v>
      </c>
      <c r="Y33">
        <f t="shared" si="7"/>
        <v>5.9695587838297595</v>
      </c>
      <c r="Z33">
        <f t="shared" si="7"/>
        <v>6.7009775541414651</v>
      </c>
      <c r="AA33">
        <f t="shared" si="7"/>
        <v>7.4367392052409746</v>
      </c>
      <c r="AB33">
        <f t="shared" si="7"/>
        <v>8.1768196559026087</v>
      </c>
    </row>
    <row r="34" spans="6:28" x14ac:dyDescent="0.2">
      <c r="F34" s="2">
        <v>22</v>
      </c>
      <c r="G34">
        <f t="shared" si="4"/>
        <v>8.7899543378995424E-5</v>
      </c>
      <c r="H34">
        <f t="shared" si="5"/>
        <v>0</v>
      </c>
      <c r="I34">
        <f t="shared" ref="I34:AB34" si="8">$D$6*EXP(-($D$23-1)/2*I$57-(($D$23-1)^2/4+$D$24)*$G34)*I5</f>
        <v>2.2233042646052777E-4</v>
      </c>
      <c r="J34">
        <f t="shared" si="8"/>
        <v>1.0265973737053301E-3</v>
      </c>
      <c r="K34">
        <f t="shared" si="8"/>
        <v>3.9824428239573668E-3</v>
      </c>
      <c r="L34">
        <f t="shared" si="8"/>
        <v>1.3401092051972518E-2</v>
      </c>
      <c r="M34">
        <f t="shared" si="8"/>
        <v>3.9227037149131845E-2</v>
      </c>
      <c r="N34">
        <f t="shared" si="8"/>
        <v>0.10016209257311209</v>
      </c>
      <c r="O34">
        <f t="shared" si="8"/>
        <v>0.22408931774747001</v>
      </c>
      <c r="P34">
        <f t="shared" si="8"/>
        <v>0.44228543658451153</v>
      </c>
      <c r="Q34">
        <f t="shared" si="8"/>
        <v>0.77765888980333631</v>
      </c>
      <c r="R34">
        <f t="shared" si="8"/>
        <v>1.2337744773277795</v>
      </c>
      <c r="S34">
        <f t="shared" si="8"/>
        <v>1.7931998163515002</v>
      </c>
      <c r="T34">
        <f t="shared" si="8"/>
        <v>2.4265492496411829</v>
      </c>
      <c r="U34">
        <f t="shared" si="8"/>
        <v>3.1048704337254303</v>
      </c>
      <c r="V34">
        <f t="shared" si="8"/>
        <v>3.8073211376117979</v>
      </c>
      <c r="W34">
        <f t="shared" si="8"/>
        <v>4.5221666353709091</v>
      </c>
      <c r="X34">
        <f t="shared" si="8"/>
        <v>5.2440737083330307</v>
      </c>
      <c r="Y34">
        <f t="shared" si="8"/>
        <v>5.9710551897451509</v>
      </c>
      <c r="Z34">
        <f t="shared" si="8"/>
        <v>6.7025054948803291</v>
      </c>
      <c r="AA34">
        <f t="shared" si="8"/>
        <v>7.4382833423784858</v>
      </c>
      <c r="AB34">
        <f t="shared" si="8"/>
        <v>8.1783765897520269</v>
      </c>
    </row>
    <row r="35" spans="6:28" x14ac:dyDescent="0.2">
      <c r="F35" s="2">
        <v>21</v>
      </c>
      <c r="G35">
        <f t="shared" si="4"/>
        <v>8.3904109589041091E-5</v>
      </c>
      <c r="H35">
        <f t="shared" si="5"/>
        <v>0</v>
      </c>
      <c r="I35">
        <f t="shared" ref="I35:AB35" si="9">$D$6*EXP(-($D$23-1)/2*I$57-(($D$23-1)^2/4+$D$24)*$G35)*I6</f>
        <v>1.6728346115815287E-4</v>
      </c>
      <c r="J35">
        <f t="shared" si="9"/>
        <v>8.1342326190200884E-4</v>
      </c>
      <c r="K35">
        <f t="shared" si="9"/>
        <v>3.3139414874896731E-3</v>
      </c>
      <c r="L35">
        <f t="shared" si="9"/>
        <v>1.1640909484319142E-2</v>
      </c>
      <c r="M35">
        <f t="shared" si="9"/>
        <v>3.5350355797448364E-2</v>
      </c>
      <c r="N35">
        <f t="shared" si="9"/>
        <v>9.3065837065450741E-2</v>
      </c>
      <c r="O35">
        <f t="shared" si="9"/>
        <v>0.21336841570090687</v>
      </c>
      <c r="P35">
        <f t="shared" si="9"/>
        <v>0.42901107721999915</v>
      </c>
      <c r="Q35">
        <f t="shared" si="9"/>
        <v>0.76428246243648112</v>
      </c>
      <c r="R35">
        <f t="shared" si="9"/>
        <v>1.222900552276363</v>
      </c>
      <c r="S35">
        <f t="shared" si="9"/>
        <v>1.7862053590856888</v>
      </c>
      <c r="T35">
        <f t="shared" si="9"/>
        <v>2.423220415578152</v>
      </c>
      <c r="U35">
        <f t="shared" si="9"/>
        <v>3.1040849411706599</v>
      </c>
      <c r="V35">
        <f t="shared" si="9"/>
        <v>3.807916400251028</v>
      </c>
      <c r="W35">
        <f t="shared" si="9"/>
        <v>4.5233695807461869</v>
      </c>
      <c r="X35">
        <f t="shared" si="9"/>
        <v>5.2455010949789598</v>
      </c>
      <c r="Y35">
        <f t="shared" si="9"/>
        <v>5.972557298499118</v>
      </c>
      <c r="Z35">
        <f t="shared" si="9"/>
        <v>6.7040349432984438</v>
      </c>
      <c r="AA35">
        <f t="shared" si="9"/>
        <v>7.4398278220049683</v>
      </c>
      <c r="AB35">
        <f t="shared" si="9"/>
        <v>8.1799335541826874</v>
      </c>
    </row>
    <row r="36" spans="6:28" x14ac:dyDescent="0.2">
      <c r="F36" s="2">
        <v>20</v>
      </c>
      <c r="G36">
        <f t="shared" si="4"/>
        <v>7.9908675799086757E-5</v>
      </c>
      <c r="H36">
        <f t="shared" si="5"/>
        <v>0</v>
      </c>
      <c r="I36">
        <f t="shared" ref="I36:AB36" si="10">$D$6*EXP(-($D$23-1)/2*I$57-(($D$23-1)^2/4+$D$24)*$G36)*I7</f>
        <v>1.2280990192192341E-4</v>
      </c>
      <c r="J36">
        <f t="shared" si="10"/>
        <v>6.3220558533728011E-4</v>
      </c>
      <c r="K36">
        <f t="shared" si="10"/>
        <v>2.7170499832620833E-3</v>
      </c>
      <c r="L36">
        <f t="shared" si="10"/>
        <v>1.000071502012545E-2</v>
      </c>
      <c r="M36">
        <f t="shared" si="10"/>
        <v>3.1607000323578306E-2</v>
      </c>
      <c r="N36">
        <f t="shared" si="10"/>
        <v>8.6019286971039138E-2</v>
      </c>
      <c r="O36">
        <f t="shared" si="10"/>
        <v>0.20251158351824439</v>
      </c>
      <c r="P36">
        <f t="shared" si="10"/>
        <v>0.41542627342048677</v>
      </c>
      <c r="Q36">
        <f t="shared" si="10"/>
        <v>0.7505830326523738</v>
      </c>
      <c r="R36">
        <f t="shared" si="10"/>
        <v>1.2118699103202455</v>
      </c>
      <c r="S36">
        <f t="shared" si="10"/>
        <v>1.7792581886980665</v>
      </c>
      <c r="T36">
        <f t="shared" si="10"/>
        <v>2.4200449854998443</v>
      </c>
      <c r="U36">
        <f t="shared" si="10"/>
        <v>3.1034467971257449</v>
      </c>
      <c r="V36">
        <f t="shared" si="10"/>
        <v>3.8086042567182021</v>
      </c>
      <c r="W36">
        <f t="shared" si="10"/>
        <v>4.5246159623763322</v>
      </c>
      <c r="X36">
        <f t="shared" si="10"/>
        <v>5.2469445066605331</v>
      </c>
      <c r="Y36">
        <f t="shared" si="10"/>
        <v>5.9740641936698191</v>
      </c>
      <c r="Z36">
        <f t="shared" si="10"/>
        <v>6.7055655803192824</v>
      </c>
      <c r="AA36">
        <f t="shared" si="10"/>
        <v>7.4413725601980767</v>
      </c>
      <c r="AB36">
        <f t="shared" si="10"/>
        <v>8.1814905491950576</v>
      </c>
    </row>
    <row r="37" spans="6:28" x14ac:dyDescent="0.2">
      <c r="F37" s="2">
        <v>19</v>
      </c>
      <c r="G37">
        <f t="shared" si="4"/>
        <v>7.5913242009132423E-5</v>
      </c>
      <c r="H37">
        <f t="shared" si="5"/>
        <v>0</v>
      </c>
      <c r="I37">
        <f t="shared" ref="I37:AB37" si="11">$D$6*EXP(-($D$23-1)/2*I$57-(($D$23-1)^2/4+$D$24)*$G37)*I8</f>
        <v>8.7656270760618017E-5</v>
      </c>
      <c r="J37">
        <f t="shared" si="11"/>
        <v>4.8066219719680373E-4</v>
      </c>
      <c r="K37">
        <f t="shared" si="11"/>
        <v>2.190357407903003E-3</v>
      </c>
      <c r="L37">
        <f t="shared" si="11"/>
        <v>8.4843759071103024E-3</v>
      </c>
      <c r="M37">
        <f t="shared" si="11"/>
        <v>2.8009064996448198E-2</v>
      </c>
      <c r="N37">
        <f t="shared" si="11"/>
        <v>7.9035897034980693E-2</v>
      </c>
      <c r="O37">
        <f t="shared" si="11"/>
        <v>0.19151763429268359</v>
      </c>
      <c r="P37">
        <f t="shared" si="11"/>
        <v>0.40150957934170955</v>
      </c>
      <c r="Q37">
        <f t="shared" si="11"/>
        <v>0.73653734372430568</v>
      </c>
      <c r="R37">
        <f t="shared" si="11"/>
        <v>1.2006789285141704</v>
      </c>
      <c r="S37">
        <f t="shared" si="11"/>
        <v>1.7723722397402721</v>
      </c>
      <c r="T37">
        <f t="shared" si="11"/>
        <v>2.4170373583438569</v>
      </c>
      <c r="U37">
        <f t="shared" si="11"/>
        <v>3.1029613389994486</v>
      </c>
      <c r="V37">
        <f t="shared" si="11"/>
        <v>3.8093832835873336</v>
      </c>
      <c r="W37">
        <f t="shared" si="11"/>
        <v>4.5259028290404073</v>
      </c>
      <c r="X37">
        <f t="shared" si="11"/>
        <v>5.2484019827714494</v>
      </c>
      <c r="Y37">
        <f t="shared" si="11"/>
        <v>5.975575023508326</v>
      </c>
      <c r="Z37">
        <f t="shared" si="11"/>
        <v>6.7070971312716692</v>
      </c>
      <c r="AA37">
        <f t="shared" si="11"/>
        <v>7.4429174898945254</v>
      </c>
      <c r="AB37">
        <f t="shared" si="11"/>
        <v>8.1830475747896898</v>
      </c>
    </row>
    <row r="38" spans="6:28" x14ac:dyDescent="0.2">
      <c r="F38" s="2">
        <v>18</v>
      </c>
      <c r="G38">
        <f t="shared" si="4"/>
        <v>7.1917808219178089E-5</v>
      </c>
      <c r="H38">
        <f t="shared" si="5"/>
        <v>0</v>
      </c>
      <c r="I38">
        <f t="shared" ref="I38:AB38" si="12">$D$6*EXP(-($D$23-1)/2*I$57-(($D$23-1)^2/4+$D$24)*$G38)*I9</f>
        <v>6.0561614245315315E-5</v>
      </c>
      <c r="J38">
        <f t="shared" si="12"/>
        <v>3.5630585274171124E-4</v>
      </c>
      <c r="K38">
        <f t="shared" si="12"/>
        <v>1.7318905849212818E-3</v>
      </c>
      <c r="L38">
        <f t="shared" si="12"/>
        <v>7.0952959327957353E-3</v>
      </c>
      <c r="M38">
        <f t="shared" si="12"/>
        <v>2.4569456044982552E-2</v>
      </c>
      <c r="N38">
        <f t="shared" si="12"/>
        <v>7.2131295929707753E-2</v>
      </c>
      <c r="O38">
        <f t="shared" si="12"/>
        <v>0.18038622916831534</v>
      </c>
      <c r="P38">
        <f t="shared" si="12"/>
        <v>0.38723699513190735</v>
      </c>
      <c r="Q38">
        <f t="shared" si="12"/>
        <v>0.72211920889048631</v>
      </c>
      <c r="R38">
        <f t="shared" si="12"/>
        <v>1.1893244585075713</v>
      </c>
      <c r="S38">
        <f t="shared" si="12"/>
        <v>1.7655638519727788</v>
      </c>
      <c r="T38">
        <f t="shared" si="12"/>
        <v>2.4142130727699849</v>
      </c>
      <c r="U38">
        <f t="shared" si="12"/>
        <v>3.1026334533965314</v>
      </c>
      <c r="V38">
        <f t="shared" si="12"/>
        <v>3.8102513531124633</v>
      </c>
      <c r="W38">
        <f t="shared" si="12"/>
        <v>4.5272269491569839</v>
      </c>
      <c r="X38">
        <f t="shared" si="12"/>
        <v>5.2498715804236049</v>
      </c>
      <c r="Y38">
        <f t="shared" si="12"/>
        <v>5.9770890113366493</v>
      </c>
      <c r="Z38">
        <f t="shared" si="12"/>
        <v>6.708629365560201</v>
      </c>
      <c r="AA38">
        <f t="shared" si="12"/>
        <v>7.4444625592243314</v>
      </c>
      <c r="AB38">
        <f t="shared" si="12"/>
        <v>8.1846046309670371</v>
      </c>
    </row>
    <row r="39" spans="6:28" x14ac:dyDescent="0.2">
      <c r="F39" s="2">
        <v>17</v>
      </c>
      <c r="G39">
        <f t="shared" si="4"/>
        <v>6.7922374429223755E-5</v>
      </c>
      <c r="H39">
        <f t="shared" si="5"/>
        <v>0</v>
      </c>
      <c r="I39">
        <f t="shared" ref="I39:AB39" si="13">$D$6*EXP(-($D$23-1)/2*I$57-(($D$23-1)^2/4+$D$24)*$G39)*I10</f>
        <v>4.0282159482253485E-5</v>
      </c>
      <c r="J39">
        <f t="shared" si="13"/>
        <v>2.5647136369789264E-4</v>
      </c>
      <c r="K39">
        <f t="shared" si="13"/>
        <v>1.3390643895938052E-3</v>
      </c>
      <c r="L39">
        <f t="shared" si="13"/>
        <v>5.8362512138004814E-3</v>
      </c>
      <c r="M39">
        <f t="shared" si="13"/>
        <v>2.1301852583622199E-2</v>
      </c>
      <c r="N39">
        <f t="shared" si="13"/>
        <v>6.5323655981973303E-2</v>
      </c>
      <c r="O39">
        <f t="shared" si="13"/>
        <v>0.16911819593498659</v>
      </c>
      <c r="P39">
        <f t="shared" si="13"/>
        <v>0.37258152951999429</v>
      </c>
      <c r="Q39">
        <f t="shared" si="13"/>
        <v>0.70729896720195207</v>
      </c>
      <c r="R39">
        <f t="shared" si="13"/>
        <v>1.1778040779586245</v>
      </c>
      <c r="S39">
        <f t="shared" si="13"/>
        <v>1.7588522216133089</v>
      </c>
      <c r="T39">
        <f t="shared" si="13"/>
        <v>2.4115888117751152</v>
      </c>
      <c r="U39">
        <f t="shared" si="13"/>
        <v>3.102467378921022</v>
      </c>
      <c r="V39">
        <f t="shared" si="13"/>
        <v>3.8112055560959703</v>
      </c>
      <c r="W39">
        <f t="shared" si="13"/>
        <v>4.528584838490211</v>
      </c>
      <c r="X39">
        <f t="shared" si="13"/>
        <v>5.2513514063295617</v>
      </c>
      <c r="Y39">
        <f t="shared" si="13"/>
        <v>5.9786054644189646</v>
      </c>
      <c r="Z39">
        <f t="shared" si="13"/>
        <v>6.7101620951536027</v>
      </c>
      <c r="AA39">
        <f t="shared" si="13"/>
        <v>7.4460077295688647</v>
      </c>
      <c r="AB39">
        <f t="shared" si="13"/>
        <v>8.1861617177276784</v>
      </c>
    </row>
    <row r="40" spans="6:28" x14ac:dyDescent="0.2">
      <c r="F40" s="2">
        <v>16</v>
      </c>
      <c r="G40">
        <f t="shared" si="4"/>
        <v>6.3926940639269422E-5</v>
      </c>
      <c r="H40">
        <f t="shared" si="5"/>
        <v>0</v>
      </c>
      <c r="I40">
        <f t="shared" ref="I40:AB40" si="14">$D$6*EXP(-($D$23-1)/2*I$57-(($D$23-1)^2/4+$D$24)*$G40)*I11</f>
        <v>2.5617831786928261E-5</v>
      </c>
      <c r="J40">
        <f t="shared" si="14"/>
        <v>1.7835319972277677E-4</v>
      </c>
      <c r="K40">
        <f t="shared" si="14"/>
        <v>1.0086405687274977E-3</v>
      </c>
      <c r="L40">
        <f t="shared" si="14"/>
        <v>4.709195084852469E-3</v>
      </c>
      <c r="M40">
        <f t="shared" si="14"/>
        <v>1.8220620509397698E-2</v>
      </c>
      <c r="N40">
        <f t="shared" si="14"/>
        <v>5.8634124371947677E-2</v>
      </c>
      <c r="O40">
        <f t="shared" si="14"/>
        <v>0.15771595943426564</v>
      </c>
      <c r="P40">
        <f t="shared" si="14"/>
        <v>0.35751266481219596</v>
      </c>
      <c r="Q40">
        <f t="shared" si="14"/>
        <v>0.69204280222436809</v>
      </c>
      <c r="R40">
        <f t="shared" si="14"/>
        <v>1.1661164426434441</v>
      </c>
      <c r="S40">
        <f t="shared" si="14"/>
        <v>1.7522599425635326</v>
      </c>
      <c r="T40">
        <f t="shared" si="14"/>
        <v>2.4091823612663572</v>
      </c>
      <c r="U40">
        <f t="shared" si="14"/>
        <v>3.10246646554064</v>
      </c>
      <c r="V40">
        <f t="shared" si="14"/>
        <v>3.8122421320842594</v>
      </c>
      <c r="W40">
        <f t="shared" si="14"/>
        <v>4.5299728019952781</v>
      </c>
      <c r="X40">
        <f t="shared" si="14"/>
        <v>5.2528396509537121</v>
      </c>
      <c r="Y40">
        <f t="shared" si="14"/>
        <v>5.9801237806654663</v>
      </c>
      <c r="Z40">
        <f t="shared" si="14"/>
        <v>6.711695171891626</v>
      </c>
      <c r="AA40">
        <f t="shared" si="14"/>
        <v>7.4475529734412724</v>
      </c>
      <c r="AB40">
        <f t="shared" si="14"/>
        <v>8.1877188350720669</v>
      </c>
    </row>
    <row r="41" spans="6:28" x14ac:dyDescent="0.2">
      <c r="F41" s="2">
        <v>15</v>
      </c>
      <c r="G41">
        <f t="shared" si="4"/>
        <v>5.9931506849315088E-5</v>
      </c>
      <c r="H41">
        <f t="shared" si="5"/>
        <v>0</v>
      </c>
      <c r="I41">
        <f t="shared" ref="I41:AB41" si="15">$D$6*EXP(-($D$23-1)/2*I$57-(($D$23-1)^2/4+$D$24)*$G41)*I12</f>
        <v>1.5439481254290598E-5</v>
      </c>
      <c r="J41">
        <f t="shared" si="15"/>
        <v>1.1905446986927737E-4</v>
      </c>
      <c r="K41">
        <f t="shared" si="15"/>
        <v>7.3670081553659894E-4</v>
      </c>
      <c r="L41">
        <f t="shared" si="15"/>
        <v>3.7150304919194763E-3</v>
      </c>
      <c r="M41">
        <f t="shared" si="15"/>
        <v>1.5340659812156862E-2</v>
      </c>
      <c r="N41">
        <f t="shared" si="15"/>
        <v>5.208732158037966E-2</v>
      </c>
      <c r="O41">
        <f t="shared" si="15"/>
        <v>0.14618412638201536</v>
      </c>
      <c r="P41">
        <f t="shared" si="15"/>
        <v>0.34199569797368135</v>
      </c>
      <c r="Q41">
        <f t="shared" si="15"/>
        <v>0.67631187901102729</v>
      </c>
      <c r="R41">
        <f t="shared" si="15"/>
        <v>1.154261782272797</v>
      </c>
      <c r="S41">
        <f t="shared" si="15"/>
        <v>1.7458136533972979</v>
      </c>
      <c r="T41">
        <f t="shared" si="15"/>
        <v>2.4070124993923208</v>
      </c>
      <c r="U41">
        <f t="shared" si="15"/>
        <v>3.102632885720459</v>
      </c>
      <c r="V41">
        <f t="shared" si="15"/>
        <v>3.8133564141789469</v>
      </c>
      <c r="W41">
        <f t="shared" si="15"/>
        <v>4.5313869917348768</v>
      </c>
      <c r="X41">
        <f t="shared" si="15"/>
        <v>5.2543346235608537</v>
      </c>
      <c r="Y41">
        <f t="shared" si="15"/>
        <v>5.9816434525320039</v>
      </c>
      <c r="Z41">
        <f t="shared" si="15"/>
        <v>6.713228483692478</v>
      </c>
      <c r="AA41">
        <f t="shared" si="15"/>
        <v>7.4490982723052506</v>
      </c>
      <c r="AB41">
        <f t="shared" si="15"/>
        <v>8.1892759830007424</v>
      </c>
    </row>
    <row r="42" spans="6:28" x14ac:dyDescent="0.2">
      <c r="F42" s="2">
        <v>14</v>
      </c>
      <c r="G42">
        <f t="shared" si="4"/>
        <v>5.5936073059360747E-5</v>
      </c>
      <c r="H42">
        <f t="shared" si="5"/>
        <v>0</v>
      </c>
      <c r="I42">
        <f t="shared" ref="I42:AB42" si="16">$D$6*EXP(-($D$23-1)/2*I$57-(($D$23-1)^2/4+$D$24)*$G42)*I13</f>
        <v>8.7152598527562986E-6</v>
      </c>
      <c r="J42">
        <f t="shared" si="16"/>
        <v>7.5647629329671955E-5</v>
      </c>
      <c r="K42">
        <f t="shared" si="16"/>
        <v>5.1864146319093583E-4</v>
      </c>
      <c r="L42">
        <f t="shared" si="16"/>
        <v>2.8533506052711155E-3</v>
      </c>
      <c r="M42">
        <f t="shared" si="16"/>
        <v>1.267715926806955E-2</v>
      </c>
      <c r="N42">
        <f t="shared" si="16"/>
        <v>4.5711909506031559E-2</v>
      </c>
      <c r="O42">
        <f t="shared" si="16"/>
        <v>0.13453028508738607</v>
      </c>
      <c r="P42">
        <f t="shared" si="16"/>
        <v>0.32599092350165765</v>
      </c>
      <c r="Q42">
        <f t="shared" si="16"/>
        <v>0.6600612367992249</v>
      </c>
      <c r="R42">
        <f t="shared" si="16"/>
        <v>1.1422426035326978</v>
      </c>
      <c r="S42">
        <f t="shared" si="16"/>
        <v>1.739544805779947</v>
      </c>
      <c r="T42">
        <f t="shared" si="16"/>
        <v>2.4050987843065443</v>
      </c>
      <c r="U42">
        <f t="shared" si="16"/>
        <v>3.1029672946003171</v>
      </c>
      <c r="V42">
        <f t="shared" si="16"/>
        <v>3.8145427982105207</v>
      </c>
      <c r="W42">
        <f t="shared" si="16"/>
        <v>4.5328234821681654</v>
      </c>
      <c r="X42">
        <f t="shared" si="16"/>
        <v>5.2558347862541135</v>
      </c>
      <c r="Y42">
        <f t="shared" si="16"/>
        <v>5.9831640675527256</v>
      </c>
      <c r="Z42">
        <f t="shared" si="16"/>
        <v>6.7147619498362605</v>
      </c>
      <c r="AA42">
        <f t="shared" si="16"/>
        <v>7.4506436144564674</v>
      </c>
      <c r="AB42">
        <f t="shared" si="16"/>
        <v>8.1908331615142131</v>
      </c>
    </row>
    <row r="43" spans="6:28" x14ac:dyDescent="0.2">
      <c r="F43" s="2">
        <v>13</v>
      </c>
      <c r="G43">
        <f t="shared" si="4"/>
        <v>5.1940639269406407E-5</v>
      </c>
      <c r="H43">
        <f t="shared" si="5"/>
        <v>0</v>
      </c>
      <c r="I43">
        <f t="shared" ref="I43:AB43" si="17">$D$6*EXP(-($D$23-1)/2*I$57-(($D$23-1)^2/4+$D$24)*$G43)*I14</f>
        <v>4.5342056631531923E-6</v>
      </c>
      <c r="J43">
        <f t="shared" si="17"/>
        <v>4.524630024185098E-5</v>
      </c>
      <c r="K43">
        <f t="shared" si="17"/>
        <v>3.4919880130807577E-4</v>
      </c>
      <c r="L43">
        <f t="shared" si="17"/>
        <v>2.1221523449525127E-3</v>
      </c>
      <c r="M43">
        <f t="shared" si="17"/>
        <v>1.0245224488059507E-2</v>
      </c>
      <c r="N43">
        <f t="shared" si="17"/>
        <v>3.9541224592487122E-2</v>
      </c>
      <c r="O43">
        <f t="shared" si="17"/>
        <v>0.12276610657547125</v>
      </c>
      <c r="P43">
        <f t="shared" si="17"/>
        <v>0.30945261337903046</v>
      </c>
      <c r="Q43">
        <f t="shared" si="17"/>
        <v>0.64323834827208692</v>
      </c>
      <c r="R43">
        <f t="shared" si="17"/>
        <v>1.1300646952605391</v>
      </c>
      <c r="S43">
        <f t="shared" si="17"/>
        <v>1.7334905667989453</v>
      </c>
      <c r="T43">
        <f t="shared" si="17"/>
        <v>2.4034611959799248</v>
      </c>
      <c r="U43">
        <f t="shared" si="17"/>
        <v>3.1034684406433954</v>
      </c>
      <c r="V43">
        <f t="shared" si="17"/>
        <v>3.8157947487666264</v>
      </c>
      <c r="W43">
        <f t="shared" si="17"/>
        <v>4.5342783629478749</v>
      </c>
      <c r="X43">
        <f t="shared" si="17"/>
        <v>5.2573387845484119</v>
      </c>
      <c r="Y43">
        <f t="shared" si="17"/>
        <v>5.98468530510962</v>
      </c>
      <c r="Z43">
        <f t="shared" si="17"/>
        <v>6.716295515596892</v>
      </c>
      <c r="AA43">
        <f t="shared" si="17"/>
        <v>7.4521889930869012</v>
      </c>
      <c r="AB43">
        <f t="shared" si="17"/>
        <v>8.1923903706129995</v>
      </c>
    </row>
    <row r="44" spans="6:28" x14ac:dyDescent="0.2">
      <c r="F44" s="2">
        <v>12</v>
      </c>
      <c r="G44">
        <f t="shared" si="4"/>
        <v>4.7945205479452066E-5</v>
      </c>
      <c r="H44">
        <f t="shared" si="5"/>
        <v>0</v>
      </c>
      <c r="I44">
        <f t="shared" ref="I44:AB44" si="18">$D$6*EXP(-($D$23-1)/2*I$57-(($D$23-1)^2/4+$D$24)*$G44)*I15</f>
        <v>2.1248023149827426E-6</v>
      </c>
      <c r="J44">
        <f t="shared" si="18"/>
        <v>2.5086179391654773E-5</v>
      </c>
      <c r="K44">
        <f t="shared" si="18"/>
        <v>2.2251541338878927E-4</v>
      </c>
      <c r="L44">
        <f t="shared" si="18"/>
        <v>1.5175339117976074E-3</v>
      </c>
      <c r="M44">
        <f t="shared" si="18"/>
        <v>8.0593359068087088E-3</v>
      </c>
      <c r="N44">
        <f t="shared" si="18"/>
        <v>3.3613957727989342E-2</v>
      </c>
      <c r="O44">
        <f t="shared" si="18"/>
        <v>0.11090887176693065</v>
      </c>
      <c r="P44">
        <f t="shared" si="18"/>
        <v>0.29232773593902533</v>
      </c>
      <c r="Q44">
        <f t="shared" si="18"/>
        <v>0.62578121618311178</v>
      </c>
      <c r="R44">
        <f t="shared" si="18"/>
        <v>1.1177385793115282</v>
      </c>
      <c r="S44">
        <f t="shared" si="18"/>
        <v>1.7276948583142753</v>
      </c>
      <c r="T44">
        <f t="shared" si="18"/>
        <v>2.4021195722585555</v>
      </c>
      <c r="U44">
        <f t="shared" si="18"/>
        <v>3.1041327355870574</v>
      </c>
      <c r="V44">
        <f t="shared" si="18"/>
        <v>3.8171048572898627</v>
      </c>
      <c r="W44">
        <f t="shared" si="18"/>
        <v>4.535747847486042</v>
      </c>
      <c r="X44">
        <f t="shared" si="18"/>
        <v>5.2588454715614033</v>
      </c>
      <c r="Y44">
        <f t="shared" si="18"/>
        <v>5.9862069293193771</v>
      </c>
      <c r="Z44">
        <f t="shared" si="18"/>
        <v>6.7178291465817086</v>
      </c>
      <c r="AA44">
        <f t="shared" si="18"/>
        <v>7.4537344046333969</v>
      </c>
      <c r="AB44">
        <f t="shared" si="18"/>
        <v>8.1939476102975881</v>
      </c>
    </row>
    <row r="45" spans="6:28" x14ac:dyDescent="0.2">
      <c r="F45" s="2">
        <v>11</v>
      </c>
      <c r="G45">
        <f t="shared" si="4"/>
        <v>4.3949771689497726E-5</v>
      </c>
      <c r="H45">
        <f t="shared" si="5"/>
        <v>0</v>
      </c>
      <c r="I45">
        <f t="shared" ref="I45:AB45" si="19">$D$6*EXP(-($D$23-1)/2*I$57-(($D$23-1)^2/4+$D$24)*$G45)*I16</f>
        <v>8.6619748391507239E-7</v>
      </c>
      <c r="J45">
        <f t="shared" si="19"/>
        <v>1.2611072054918266E-5</v>
      </c>
      <c r="K45">
        <f t="shared" si="19"/>
        <v>1.3225857222562217E-4</v>
      </c>
      <c r="L45">
        <f t="shared" si="19"/>
        <v>1.03339720043831E-3</v>
      </c>
      <c r="M45">
        <f t="shared" si="19"/>
        <v>6.1325832590190463E-3</v>
      </c>
      <c r="N45">
        <f t="shared" si="19"/>
        <v>2.7974837985287472E-2</v>
      </c>
      <c r="O45">
        <f t="shared" si="19"/>
        <v>9.8983605611092831E-2</v>
      </c>
      <c r="P45">
        <f t="shared" si="19"/>
        <v>0.27455433844116378</v>
      </c>
      <c r="Q45">
        <f t="shared" si="19"/>
        <v>0.60761581691619881</v>
      </c>
      <c r="R45">
        <f t="shared" si="19"/>
        <v>1.105281626925642</v>
      </c>
      <c r="S45">
        <f t="shared" si="19"/>
        <v>1.722209515206369</v>
      </c>
      <c r="T45">
        <f t="shared" si="19"/>
        <v>2.4010927606517476</v>
      </c>
      <c r="U45">
        <f t="shared" si="19"/>
        <v>3.1049538047864735</v>
      </c>
      <c r="V45">
        <f t="shared" si="19"/>
        <v>3.8184649695307589</v>
      </c>
      <c r="W45">
        <f t="shared" si="19"/>
        <v>4.5372283928148773</v>
      </c>
      <c r="X45">
        <f t="shared" si="19"/>
        <v>5.2603539226621123</v>
      </c>
      <c r="Y45">
        <f t="shared" si="19"/>
        <v>5.9877287783080044</v>
      </c>
      <c r="Z45">
        <f t="shared" si="19"/>
        <v>6.7193628231957154</v>
      </c>
      <c r="AA45">
        <f t="shared" si="19"/>
        <v>7.4552798474782396</v>
      </c>
      <c r="AB45">
        <f t="shared" si="19"/>
        <v>8.195504880568512</v>
      </c>
    </row>
    <row r="46" spans="6:28" x14ac:dyDescent="0.2">
      <c r="F46" s="2">
        <v>10</v>
      </c>
      <c r="G46">
        <f t="shared" si="4"/>
        <v>3.9954337899543385E-5</v>
      </c>
      <c r="H46">
        <f t="shared" si="5"/>
        <v>0</v>
      </c>
      <c r="I46">
        <f t="shared" ref="I46:AB46" si="20">$D$6*EXP(-($D$23-1)/2*I$57-(($D$23-1)^2/4+$D$24)*$G46)*I17</f>
        <v>2.9002116923518003E-7</v>
      </c>
      <c r="J46">
        <f t="shared" si="20"/>
        <v>5.5576687737908995E-6</v>
      </c>
      <c r="K46">
        <f t="shared" si="20"/>
        <v>7.1800782652184229E-5</v>
      </c>
      <c r="L46">
        <f t="shared" si="20"/>
        <v>6.6119022134662536E-4</v>
      </c>
      <c r="M46">
        <f t="shared" si="20"/>
        <v>4.4756143582393359E-3</v>
      </c>
      <c r="N46">
        <f t="shared" si="20"/>
        <v>2.2675233731223095E-2</v>
      </c>
      <c r="O46">
        <f t="shared" si="20"/>
        <v>8.7026082442872327E-2</v>
      </c>
      <c r="P46">
        <f t="shared" si="20"/>
        <v>0.25605949738447692</v>
      </c>
      <c r="Q46">
        <f t="shared" si="20"/>
        <v>0.58865260547458997</v>
      </c>
      <c r="R46">
        <f t="shared" si="20"/>
        <v>1.0927211813338407</v>
      </c>
      <c r="S46">
        <f t="shared" si="20"/>
        <v>1.7170955010408862</v>
      </c>
      <c r="T46">
        <f t="shared" si="20"/>
        <v>2.4003973867071746</v>
      </c>
      <c r="U46">
        <f t="shared" si="20"/>
        <v>3.1059220582122933</v>
      </c>
      <c r="V46">
        <f t="shared" si="20"/>
        <v>3.8198663999269691</v>
      </c>
      <c r="W46">
        <f t="shared" si="20"/>
        <v>4.5387168226264647</v>
      </c>
      <c r="X46">
        <f t="shared" si="20"/>
        <v>5.261863437593477</v>
      </c>
      <c r="Y46">
        <f t="shared" si="20"/>
        <v>5.9892507506246622</v>
      </c>
      <c r="Z46">
        <f t="shared" si="20"/>
        <v>6.7208965356554948</v>
      </c>
      <c r="AA46">
        <f t="shared" si="20"/>
        <v>7.4568253210244357</v>
      </c>
      <c r="AB46">
        <f t="shared" si="20"/>
        <v>8.1970621814262881</v>
      </c>
    </row>
    <row r="47" spans="6:28" x14ac:dyDescent="0.2">
      <c r="F47" s="2">
        <v>9</v>
      </c>
      <c r="G47">
        <f t="shared" si="4"/>
        <v>3.5958904109589045E-5</v>
      </c>
      <c r="H47">
        <f t="shared" si="5"/>
        <v>0</v>
      </c>
      <c r="I47">
        <f t="shared" ref="I47:AB47" si="21">$D$6*EXP(-($D$23-1)/2*I$57-(($D$23-1)^2/4+$D$24)*$G47)*I18</f>
        <v>7.1489706929933272E-8</v>
      </c>
      <c r="J47">
        <f t="shared" si="21"/>
        <v>2.0299766140931801E-6</v>
      </c>
      <c r="K47">
        <f t="shared" si="21"/>
        <v>3.4468763417882502E-5</v>
      </c>
      <c r="L47">
        <f t="shared" si="21"/>
        <v>3.8974432981814461E-4</v>
      </c>
      <c r="M47">
        <f t="shared" si="21"/>
        <v>3.0952329262247035E-3</v>
      </c>
      <c r="N47">
        <f t="shared" si="21"/>
        <v>1.7773509428456593E-2</v>
      </c>
      <c r="O47">
        <f t="shared" si="21"/>
        <v>7.5087091002699766E-2</v>
      </c>
      <c r="P47">
        <f t="shared" si="21"/>
        <v>0.23675671689747305</v>
      </c>
      <c r="Q47">
        <f t="shared" si="21"/>
        <v>0.56878164647825225</v>
      </c>
      <c r="R47">
        <f t="shared" si="21"/>
        <v>1.0800992212804899</v>
      </c>
      <c r="S47">
        <f t="shared" si="21"/>
        <v>1.7124240357225089</v>
      </c>
      <c r="T47">
        <f t="shared" si="21"/>
        <v>2.4000461215955817</v>
      </c>
      <c r="U47">
        <f t="shared" si="21"/>
        <v>3.1070243507455513</v>
      </c>
      <c r="V47">
        <f t="shared" si="21"/>
        <v>3.8213002471136184</v>
      </c>
      <c r="W47">
        <f t="shared" si="21"/>
        <v>4.5402104410121025</v>
      </c>
      <c r="X47">
        <f t="shared" si="21"/>
        <v>5.2633735279140916</v>
      </c>
      <c r="Y47">
        <f t="shared" si="21"/>
        <v>5.9907727900554475</v>
      </c>
      <c r="Z47">
        <f t="shared" si="21"/>
        <v>6.7224302799164946</v>
      </c>
      <c r="AA47">
        <f t="shared" si="21"/>
        <v>7.4583708251189149</v>
      </c>
      <c r="AB47">
        <f t="shared" si="21"/>
        <v>8.198619512871403</v>
      </c>
    </row>
    <row r="48" spans="6:28" x14ac:dyDescent="0.2">
      <c r="F48" s="2">
        <v>8</v>
      </c>
      <c r="G48">
        <f t="shared" si="4"/>
        <v>3.1963470319634704E-5</v>
      </c>
      <c r="H48">
        <f t="shared" si="5"/>
        <v>0</v>
      </c>
      <c r="I48">
        <f t="shared" ref="I48:AB48" si="22">$D$6*EXP(-($D$23-1)/2*I$57-(($D$23-1)^2/4+$D$24)*$G48)*I19</f>
        <v>9.8292130059221648E-9</v>
      </c>
      <c r="J48">
        <f t="shared" si="22"/>
        <v>5.5184593012911123E-7</v>
      </c>
      <c r="K48">
        <f t="shared" si="22"/>
        <v>1.3858755881736469E-5</v>
      </c>
      <c r="L48">
        <f t="shared" si="22"/>
        <v>2.0528632277696447E-4</v>
      </c>
      <c r="M48">
        <f t="shared" si="22"/>
        <v>1.9925917030358242E-3</v>
      </c>
      <c r="N48">
        <f t="shared" si="22"/>
        <v>1.333484830653838E-2</v>
      </c>
      <c r="O48">
        <f t="shared" si="22"/>
        <v>6.3238533186822682E-2</v>
      </c>
      <c r="P48">
        <f t="shared" si="22"/>
        <v>0.21654263214502453</v>
      </c>
      <c r="Q48">
        <f t="shared" si="22"/>
        <v>0.54786569590769307</v>
      </c>
      <c r="R48">
        <f t="shared" si="22"/>
        <v>1.0674794145542783</v>
      </c>
      <c r="S48">
        <f t="shared" si="22"/>
        <v>1.708277332110441</v>
      </c>
      <c r="T48">
        <f t="shared" si="22"/>
        <v>2.400045326168351</v>
      </c>
      <c r="U48">
        <f t="shared" si="22"/>
        <v>3.1082438398125158</v>
      </c>
      <c r="V48">
        <f t="shared" si="22"/>
        <v>3.8227578149362844</v>
      </c>
      <c r="W48">
        <f t="shared" si="22"/>
        <v>4.5417071199880086</v>
      </c>
      <c r="X48">
        <f t="shared" si="22"/>
        <v>5.2648838893111929</v>
      </c>
      <c r="Y48">
        <f t="shared" si="22"/>
        <v>5.9922948705194905</v>
      </c>
      <c r="Z48">
        <f t="shared" si="22"/>
        <v>6.7239640547387278</v>
      </c>
      <c r="AA48">
        <f t="shared" si="22"/>
        <v>7.4599163597538336</v>
      </c>
      <c r="AB48">
        <f t="shared" si="22"/>
        <v>8.2001768749044039</v>
      </c>
    </row>
    <row r="49" spans="3:28" x14ac:dyDescent="0.2">
      <c r="F49" s="2">
        <v>7</v>
      </c>
      <c r="G49">
        <f t="shared" si="4"/>
        <v>2.7968036529680364E-5</v>
      </c>
      <c r="H49">
        <f t="shared" si="5"/>
        <v>0</v>
      </c>
      <c r="I49">
        <f t="shared" ref="I49:AB49" si="23">$D$6*EXP(-($D$23-1)/2*I$57-(($D$23-1)^2/4+$D$24)*$G49)*I20</f>
        <v>0</v>
      </c>
      <c r="J49">
        <f t="shared" si="23"/>
        <v>8.4798198547283399E-8</v>
      </c>
      <c r="K49">
        <f t="shared" si="23"/>
        <v>4.2008981799225757E-6</v>
      </c>
      <c r="L49">
        <f t="shared" si="23"/>
        <v>9.1734262228889278E-5</v>
      </c>
      <c r="M49">
        <f t="shared" si="23"/>
        <v>1.1609703553275615E-3</v>
      </c>
      <c r="N49">
        <f t="shared" si="23"/>
        <v>9.4300348129696468E-3</v>
      </c>
      <c r="O49">
        <f t="shared" si="23"/>
        <v>5.158220887348447E-2</v>
      </c>
      <c r="P49">
        <f t="shared" si="23"/>
        <v>0.19529285990057338</v>
      </c>
      <c r="Q49">
        <f t="shared" si="23"/>
        <v>0.52573016928816751</v>
      </c>
      <c r="R49">
        <f t="shared" si="23"/>
        <v>1.0549579256635737</v>
      </c>
      <c r="S49">
        <f t="shared" si="23"/>
        <v>1.7047483482207522</v>
      </c>
      <c r="T49">
        <f t="shared" si="23"/>
        <v>2.400391979216427</v>
      </c>
      <c r="U49">
        <f t="shared" si="23"/>
        <v>3.1095601981969252</v>
      </c>
      <c r="V49">
        <f t="shared" si="23"/>
        <v>3.8242311232391906</v>
      </c>
      <c r="W49">
        <f t="shared" si="23"/>
        <v>4.543205340810597</v>
      </c>
      <c r="X49">
        <f t="shared" si="23"/>
        <v>5.2663943610194384</v>
      </c>
      <c r="Y49">
        <f t="shared" si="23"/>
        <v>5.9938169828956509</v>
      </c>
      <c r="Z49">
        <f t="shared" si="23"/>
        <v>6.7254978599127453</v>
      </c>
      <c r="AA49">
        <f t="shared" si="23"/>
        <v>7.4614619249513403</v>
      </c>
      <c r="AB49">
        <f t="shared" si="23"/>
        <v>8.2017342675257758</v>
      </c>
    </row>
    <row r="50" spans="3:28" x14ac:dyDescent="0.2">
      <c r="F50" s="2">
        <v>6</v>
      </c>
      <c r="G50">
        <f t="shared" si="4"/>
        <v>2.3972602739726026E-5</v>
      </c>
      <c r="H50">
        <f t="shared" si="5"/>
        <v>0</v>
      </c>
      <c r="I50">
        <f t="shared" ref="I50:AB50" si="24">$D$6*EXP(-($D$23-1)/2*I$57-(($D$23-1)^2/4+$D$24)*$G50)*I21</f>
        <v>0</v>
      </c>
      <c r="J50">
        <f t="shared" si="24"/>
        <v>0</v>
      </c>
      <c r="K50">
        <f t="shared" si="24"/>
        <v>7.315676720539101E-7</v>
      </c>
      <c r="L50">
        <f t="shared" si="24"/>
        <v>3.1410912883156857E-5</v>
      </c>
      <c r="M50">
        <f t="shared" si="24"/>
        <v>5.8323526660731249E-4</v>
      </c>
      <c r="N50">
        <f t="shared" si="24"/>
        <v>6.1323282662582848E-3</v>
      </c>
      <c r="O50">
        <f t="shared" si="24"/>
        <v>4.0262556992114305E-2</v>
      </c>
      <c r="P50">
        <f t="shared" si="24"/>
        <v>0.17285685114685989</v>
      </c>
      <c r="Q50">
        <f t="shared" si="24"/>
        <v>0.50214829274358741</v>
      </c>
      <c r="R50">
        <f t="shared" si="24"/>
        <v>1.0426801938183206</v>
      </c>
      <c r="S50">
        <f t="shared" si="24"/>
        <v>1.701938433012318</v>
      </c>
      <c r="T50">
        <f t="shared" si="24"/>
        <v>2.4010699114312475</v>
      </c>
      <c r="U50">
        <f t="shared" si="24"/>
        <v>3.1109503925162802</v>
      </c>
      <c r="V50">
        <f t="shared" si="24"/>
        <v>3.8257134581595027</v>
      </c>
      <c r="W50">
        <f t="shared" si="24"/>
        <v>4.5447041698921664</v>
      </c>
      <c r="X50">
        <f t="shared" si="24"/>
        <v>5.267904878001894</v>
      </c>
      <c r="Y50">
        <f t="shared" si="24"/>
        <v>5.9953391253480799</v>
      </c>
      <c r="Z50">
        <f t="shared" si="24"/>
        <v>6.7270316954452793</v>
      </c>
      <c r="AA50">
        <f t="shared" si="24"/>
        <v>7.463007520739243</v>
      </c>
      <c r="AB50">
        <f t="shared" si="24"/>
        <v>8.2032916907360232</v>
      </c>
    </row>
    <row r="51" spans="3:28" x14ac:dyDescent="0.2">
      <c r="F51" s="2">
        <v>5</v>
      </c>
      <c r="G51">
        <f t="shared" si="4"/>
        <v>1.9977168949771689E-5</v>
      </c>
      <c r="H51">
        <f t="shared" si="5"/>
        <v>0</v>
      </c>
      <c r="I51">
        <f t="shared" ref="I51:AB51" si="25">$D$6*EXP(-($D$23-1)/2*I$57-(($D$23-1)^2/4+$D$24)*$G51)*I22</f>
        <v>0</v>
      </c>
      <c r="J51">
        <f t="shared" si="25"/>
        <v>0</v>
      </c>
      <c r="K51">
        <f t="shared" si="25"/>
        <v>0</v>
      </c>
      <c r="L51">
        <f t="shared" si="25"/>
        <v>6.3113517499543957E-6</v>
      </c>
      <c r="M51">
        <f t="shared" si="25"/>
        <v>2.2930995096507066E-4</v>
      </c>
      <c r="N51">
        <f t="shared" si="25"/>
        <v>3.5109546389029671E-3</v>
      </c>
      <c r="O51">
        <f t="shared" si="25"/>
        <v>2.9485250404115145E-2</v>
      </c>
      <c r="P51">
        <f t="shared" si="25"/>
        <v>0.14905168090796536</v>
      </c>
      <c r="Q51">
        <f t="shared" si="25"/>
        <v>0.47681867029742864</v>
      </c>
      <c r="R51">
        <f t="shared" si="25"/>
        <v>1.0308673199728735</v>
      </c>
      <c r="S51">
        <f t="shared" si="25"/>
        <v>1.6999507883888356</v>
      </c>
      <c r="T51">
        <f t="shared" si="25"/>
        <v>2.4020456585614407</v>
      </c>
      <c r="U51">
        <f t="shared" si="25"/>
        <v>3.1123902691333609</v>
      </c>
      <c r="V51">
        <f t="shared" si="25"/>
        <v>3.8271998603940713</v>
      </c>
      <c r="W51">
        <f t="shared" si="25"/>
        <v>4.5462031586328333</v>
      </c>
      <c r="X51">
        <f t="shared" si="25"/>
        <v>5.2694154248304192</v>
      </c>
      <c r="Y51">
        <f t="shared" si="25"/>
        <v>5.9968612978691809</v>
      </c>
      <c r="Z51">
        <f t="shared" si="25"/>
        <v>6.7285655613409219</v>
      </c>
      <c r="AA51">
        <f t="shared" si="25"/>
        <v>7.464553147153083</v>
      </c>
      <c r="AB51">
        <f t="shared" si="25"/>
        <v>8.2048491445356593</v>
      </c>
    </row>
    <row r="52" spans="3:28" x14ac:dyDescent="0.2">
      <c r="F52" s="2">
        <v>4</v>
      </c>
      <c r="G52">
        <f t="shared" si="4"/>
        <v>1.5981735159817352E-5</v>
      </c>
      <c r="H52">
        <f t="shared" si="5"/>
        <v>0</v>
      </c>
      <c r="I52">
        <f t="shared" ref="I52:AB52" si="26">$D$6*EXP(-($D$23-1)/2*I$57-(($D$23-1)^2/4+$D$24)*$G52)*I23</f>
        <v>0</v>
      </c>
      <c r="J52">
        <f t="shared" si="26"/>
        <v>0</v>
      </c>
      <c r="K52">
        <f t="shared" si="26"/>
        <v>0</v>
      </c>
      <c r="L52">
        <f t="shared" si="26"/>
        <v>0</v>
      </c>
      <c r="M52">
        <f t="shared" si="26"/>
        <v>5.4449044747725077E-5</v>
      </c>
      <c r="N52">
        <f t="shared" si="26"/>
        <v>1.6187392700719868E-3</v>
      </c>
      <c r="O52">
        <f t="shared" si="26"/>
        <v>1.9544482682282784E-2</v>
      </c>
      <c r="P52">
        <f t="shared" si="26"/>
        <v>0.12365494033879035</v>
      </c>
      <c r="Q52">
        <f t="shared" si="26"/>
        <v>0.44933071352575321</v>
      </c>
      <c r="R52">
        <f t="shared" si="26"/>
        <v>1.0198580975706431</v>
      </c>
      <c r="S52">
        <f t="shared" si="26"/>
        <v>1.6988759512265346</v>
      </c>
      <c r="T52">
        <f t="shared" si="26"/>
        <v>2.4032649029498483</v>
      </c>
      <c r="U52">
        <f t="shared" si="26"/>
        <v>3.1138571379136968</v>
      </c>
      <c r="V52">
        <f t="shared" si="26"/>
        <v>3.8286873877806369</v>
      </c>
      <c r="W52">
        <f t="shared" si="26"/>
        <v>4.5477021770290973</v>
      </c>
      <c r="X52">
        <f t="shared" si="26"/>
        <v>5.2709260015024384</v>
      </c>
      <c r="Y52">
        <f t="shared" si="26"/>
        <v>5.9983835004493589</v>
      </c>
      <c r="Z52">
        <f t="shared" si="26"/>
        <v>6.7300994576001498</v>
      </c>
      <c r="AA52">
        <f t="shared" si="26"/>
        <v>7.4660988042391461</v>
      </c>
      <c r="AB52">
        <f t="shared" si="26"/>
        <v>8.2064066289252366</v>
      </c>
    </row>
    <row r="53" spans="3:28" x14ac:dyDescent="0.2">
      <c r="F53" s="2">
        <v>3</v>
      </c>
      <c r="G53">
        <f t="shared" si="4"/>
        <v>1.1986301369863015E-5</v>
      </c>
      <c r="H53">
        <f t="shared" si="5"/>
        <v>0</v>
      </c>
      <c r="I53">
        <f t="shared" ref="I53:AB53" si="27">$D$6*EXP(-($D$23-1)/2*I$57-(($D$23-1)^2/4+$D$24)*$G53)*I24</f>
        <v>0</v>
      </c>
      <c r="J53">
        <f t="shared" si="27"/>
        <v>0</v>
      </c>
      <c r="K53">
        <f t="shared" si="27"/>
        <v>0</v>
      </c>
      <c r="L53">
        <f t="shared" si="27"/>
        <v>0</v>
      </c>
      <c r="M53">
        <f t="shared" si="27"/>
        <v>0</v>
      </c>
      <c r="N53">
        <f t="shared" si="27"/>
        <v>4.6974065008517217E-4</v>
      </c>
      <c r="O53">
        <f t="shared" si="27"/>
        <v>1.0863189247099562E-2</v>
      </c>
      <c r="P53">
        <f t="shared" si="27"/>
        <v>9.6397438263613883E-2</v>
      </c>
      <c r="Q53">
        <f t="shared" si="27"/>
        <v>0.41911034465277486</v>
      </c>
      <c r="R53">
        <f t="shared" si="27"/>
        <v>1.0101767893067586</v>
      </c>
      <c r="S53">
        <f t="shared" si="27"/>
        <v>1.6987624147313811</v>
      </c>
      <c r="T53">
        <f t="shared" si="27"/>
        <v>2.4046518488595363</v>
      </c>
      <c r="U53">
        <f t="shared" si="27"/>
        <v>3.1153332704559618</v>
      </c>
      <c r="V53">
        <f t="shared" si="27"/>
        <v>3.8301749446395252</v>
      </c>
      <c r="W53">
        <f t="shared" si="27"/>
        <v>4.5492012250813305</v>
      </c>
      <c r="X53">
        <f t="shared" si="27"/>
        <v>5.2724366080162275</v>
      </c>
      <c r="Y53">
        <f t="shared" si="27"/>
        <v>5.9999057330773882</v>
      </c>
      <c r="Z53">
        <f t="shared" si="27"/>
        <v>6.7316333842160132</v>
      </c>
      <c r="AA53">
        <f t="shared" si="27"/>
        <v>7.4676444920589011</v>
      </c>
      <c r="AB53">
        <f t="shared" si="27"/>
        <v>8.20796414390521</v>
      </c>
    </row>
    <row r="54" spans="3:28" x14ac:dyDescent="0.2">
      <c r="F54" s="2">
        <v>2</v>
      </c>
      <c r="G54">
        <f t="shared" si="4"/>
        <v>7.990867579908676E-6</v>
      </c>
      <c r="H54">
        <f t="shared" si="5"/>
        <v>0</v>
      </c>
      <c r="I54">
        <f t="shared" ref="I54:AB54" si="28">$D$6*EXP(-($D$23-1)/2*I$57-(($D$23-1)^2/4+$D$24)*$G54)*I25</f>
        <v>0</v>
      </c>
      <c r="J54">
        <f t="shared" si="28"/>
        <v>0</v>
      </c>
      <c r="K54">
        <f t="shared" si="28"/>
        <v>0</v>
      </c>
      <c r="L54">
        <f t="shared" si="28"/>
        <v>0</v>
      </c>
      <c r="M54">
        <f t="shared" si="28"/>
        <v>0</v>
      </c>
      <c r="N54">
        <f t="shared" si="28"/>
        <v>0</v>
      </c>
      <c r="O54">
        <f t="shared" si="28"/>
        <v>4.0525279986966057E-3</v>
      </c>
      <c r="P54">
        <f t="shared" si="28"/>
        <v>6.6957592372775154E-2</v>
      </c>
      <c r="Q54">
        <f t="shared" si="28"/>
        <v>0.38533318362561453</v>
      </c>
      <c r="R54">
        <f t="shared" si="28"/>
        <v>1.0026437098178389</v>
      </c>
      <c r="S54">
        <f t="shared" si="28"/>
        <v>1.6995599798260903</v>
      </c>
      <c r="T54">
        <f t="shared" si="28"/>
        <v>2.4061166526814004</v>
      </c>
      <c r="U54">
        <f t="shared" si="28"/>
        <v>3.1168094322884605</v>
      </c>
      <c r="V54">
        <f t="shared" si="28"/>
        <v>3.831662530971228</v>
      </c>
      <c r="W54">
        <f t="shared" si="28"/>
        <v>4.5507003027900295</v>
      </c>
      <c r="X54">
        <f t="shared" si="28"/>
        <v>5.2739472443712083</v>
      </c>
      <c r="Y54">
        <f t="shared" si="28"/>
        <v>6.0014279957417207</v>
      </c>
      <c r="Z54">
        <f t="shared" si="28"/>
        <v>6.7331673411686177</v>
      </c>
      <c r="AA54">
        <f t="shared" si="28"/>
        <v>7.469190210695654</v>
      </c>
      <c r="AB54">
        <f t="shared" si="28"/>
        <v>8.2095216894761265</v>
      </c>
    </row>
    <row r="55" spans="3:28" x14ac:dyDescent="0.2">
      <c r="F55" s="2">
        <v>1</v>
      </c>
      <c r="G55">
        <f>G56+$D$19</f>
        <v>3.995433789954338E-6</v>
      </c>
      <c r="H55">
        <f t="shared" si="5"/>
        <v>0</v>
      </c>
      <c r="I55">
        <f t="shared" ref="I55:AB55" si="29">$D$6*EXP(-($D$23-1)/2*I$57-(($D$23-1)^2/4+$D$24)*$G55)*I26</f>
        <v>0</v>
      </c>
      <c r="J55">
        <f t="shared" si="29"/>
        <v>0</v>
      </c>
      <c r="K55">
        <f t="shared" si="29"/>
        <v>0</v>
      </c>
      <c r="L55">
        <f t="shared" si="29"/>
        <v>0</v>
      </c>
      <c r="M55">
        <f t="shared" si="29"/>
        <v>0</v>
      </c>
      <c r="N55">
        <f t="shared" si="29"/>
        <v>0</v>
      </c>
      <c r="O55">
        <f t="shared" si="29"/>
        <v>0</v>
      </c>
      <c r="P55">
        <f t="shared" si="29"/>
        <v>3.4961809622484533E-2</v>
      </c>
      <c r="Q55">
        <f t="shared" si="29"/>
        <v>0.34678344582764742</v>
      </c>
      <c r="R55">
        <f t="shared" si="29"/>
        <v>0.99855765678011266</v>
      </c>
      <c r="S55">
        <f t="shared" si="29"/>
        <v>1.7010135206676764</v>
      </c>
      <c r="T55">
        <f t="shared" si="29"/>
        <v>2.4075814856124671</v>
      </c>
      <c r="U55">
        <f t="shared" si="29"/>
        <v>3.1182856234116851</v>
      </c>
      <c r="V55">
        <f t="shared" si="29"/>
        <v>3.8331501467762399</v>
      </c>
      <c r="W55">
        <f t="shared" si="29"/>
        <v>4.5521994101556924</v>
      </c>
      <c r="X55">
        <f t="shared" si="29"/>
        <v>5.2754579105678809</v>
      </c>
      <c r="Y55">
        <f t="shared" si="29"/>
        <v>6.0029502884335546</v>
      </c>
      <c r="Z55">
        <f t="shared" si="29"/>
        <v>6.7347013284158654</v>
      </c>
      <c r="AA55">
        <f t="shared" si="29"/>
        <v>7.4707359602646966</v>
      </c>
      <c r="AB55">
        <f t="shared" si="29"/>
        <v>8.2110792656385012</v>
      </c>
    </row>
    <row r="56" spans="3:28" x14ac:dyDescent="0.2">
      <c r="F56" s="2">
        <v>0</v>
      </c>
      <c r="G56">
        <v>0</v>
      </c>
      <c r="H56">
        <f>$D$6*EXP(-($D$23-1)/2*H$57-(($D$23-1)^2/4+$D$4)*$G56)*H27</f>
        <v>0</v>
      </c>
      <c r="I56">
        <f>$D$6*EXP(-($D$23-1)/2*I$57-(($D$23-1)^2/4+$D$24)*$G56)*I27</f>
        <v>0</v>
      </c>
      <c r="J56">
        <f t="shared" ref="J56:AB56" si="30">$D$6*EXP(-($D$23-1)/2*J$57-(($D$23-1)^2/4+$D$24)*$G56)*J27</f>
        <v>0</v>
      </c>
      <c r="K56">
        <f t="shared" si="30"/>
        <v>0</v>
      </c>
      <c r="L56">
        <f t="shared" si="30"/>
        <v>0</v>
      </c>
      <c r="M56">
        <f t="shared" si="30"/>
        <v>0</v>
      </c>
      <c r="N56">
        <f t="shared" si="30"/>
        <v>0</v>
      </c>
      <c r="O56">
        <f t="shared" si="30"/>
        <v>0</v>
      </c>
      <c r="P56">
        <f t="shared" si="30"/>
        <v>0</v>
      </c>
      <c r="Q56">
        <f>$D$6*EXP(-($D$23-1)/2*Q$57-(($D$23-1)^2/4+$D$24)*$G56)*Q27</f>
        <v>0.30162114425168285</v>
      </c>
      <c r="R56">
        <f t="shared" si="30"/>
        <v>0.99999999999999512</v>
      </c>
      <c r="S56">
        <f t="shared" si="30"/>
        <v>1.7024670904384847</v>
      </c>
      <c r="T56">
        <f t="shared" si="30"/>
        <v>2.4090463476532245</v>
      </c>
      <c r="U56">
        <f t="shared" si="30"/>
        <v>3.1197618438261259</v>
      </c>
      <c r="V56">
        <f t="shared" si="30"/>
        <v>3.8346377920550543</v>
      </c>
      <c r="W56">
        <f t="shared" si="30"/>
        <v>4.5536985471788149</v>
      </c>
      <c r="X56">
        <f t="shared" si="30"/>
        <v>5.2769686066067463</v>
      </c>
      <c r="Y56">
        <f t="shared" si="30"/>
        <v>6.0044726111533935</v>
      </c>
      <c r="Z56">
        <f t="shared" si="30"/>
        <v>6.7362353458780184</v>
      </c>
      <c r="AA56">
        <f t="shared" si="30"/>
        <v>7.4722817409289348</v>
      </c>
      <c r="AB56">
        <f t="shared" si="30"/>
        <v>8.2126368723928103</v>
      </c>
    </row>
    <row r="57" spans="3:28" x14ac:dyDescent="0.2">
      <c r="G57" s="6" t="s">
        <v>24</v>
      </c>
      <c r="H57">
        <v>-0.05</v>
      </c>
      <c r="I57">
        <v>-4.4163175032948344E-2</v>
      </c>
      <c r="J57">
        <v>-3.8326350065896686E-2</v>
      </c>
      <c r="K57">
        <v>-3.2489525098845028E-2</v>
      </c>
      <c r="L57">
        <v>-2.6652700131793369E-2</v>
      </c>
      <c r="M57">
        <v>-2.0815875164741711E-2</v>
      </c>
      <c r="N57">
        <v>-1.4979050197690053E-2</v>
      </c>
      <c r="O57">
        <v>-9.1422252306383942E-3</v>
      </c>
      <c r="P57">
        <v>-3.3054002635867358E-3</v>
      </c>
      <c r="Q57">
        <v>2.5314247034649226E-3</v>
      </c>
      <c r="R57" s="3">
        <v>8.368249670516581E-3</v>
      </c>
      <c r="S57">
        <v>1.4205074637568239E-2</v>
      </c>
      <c r="T57">
        <v>2.0041899604619898E-2</v>
      </c>
      <c r="U57">
        <v>2.5878724571671556E-2</v>
      </c>
      <c r="V57">
        <v>3.1715549538723214E-2</v>
      </c>
      <c r="W57">
        <v>3.7552374505774873E-2</v>
      </c>
      <c r="X57">
        <v>4.3389199472826531E-2</v>
      </c>
      <c r="Y57">
        <v>4.922602443987819E-2</v>
      </c>
      <c r="Z57">
        <v>5.5062849406929848E-2</v>
      </c>
      <c r="AA57">
        <v>6.0899674373981506E-2</v>
      </c>
      <c r="AB57">
        <v>6.6736499341033165E-2</v>
      </c>
    </row>
    <row r="60" spans="3:28" x14ac:dyDescent="0.2">
      <c r="C60" s="7"/>
      <c r="F60" t="s">
        <v>9</v>
      </c>
      <c r="G60" t="s">
        <v>34</v>
      </c>
    </row>
    <row r="61" spans="3:28" x14ac:dyDescent="0.2">
      <c r="C61" t="s">
        <v>35</v>
      </c>
      <c r="D61">
        <v>0.02</v>
      </c>
      <c r="F61">
        <v>-1</v>
      </c>
      <c r="G61">
        <v>6.6005078832069852E-3</v>
      </c>
    </row>
    <row r="62" spans="3:28" x14ac:dyDescent="0.2">
      <c r="C62" t="s">
        <v>36</v>
      </c>
      <c r="D62">
        <v>-1</v>
      </c>
      <c r="F62">
        <f>F61+$D$61</f>
        <v>-0.98</v>
      </c>
      <c r="G62">
        <v>6.5279359111876101E-3</v>
      </c>
    </row>
    <row r="63" spans="3:28" x14ac:dyDescent="0.2">
      <c r="C63" t="s">
        <v>37</v>
      </c>
      <c r="D63">
        <v>1</v>
      </c>
      <c r="F63">
        <f t="shared" ref="F63:F126" si="31">F62+$D$61</f>
        <v>-0.96</v>
      </c>
      <c r="G63">
        <v>6.4554212272445177E-3</v>
      </c>
    </row>
    <row r="64" spans="3:28" x14ac:dyDescent="0.2">
      <c r="F64">
        <f t="shared" si="31"/>
        <v>-0.94</v>
      </c>
      <c r="G64">
        <v>6.3829642344868098E-3</v>
      </c>
    </row>
    <row r="65" spans="6:7" x14ac:dyDescent="0.2">
      <c r="F65">
        <f t="shared" si="31"/>
        <v>-0.91999999999999993</v>
      </c>
      <c r="G65">
        <v>6.3105653391002381E-3</v>
      </c>
    </row>
    <row r="66" spans="6:7" x14ac:dyDescent="0.2">
      <c r="F66">
        <f t="shared" si="31"/>
        <v>-0.89999999999999991</v>
      </c>
      <c r="G66">
        <v>6.2382249503845077E-3</v>
      </c>
    </row>
    <row r="67" spans="6:7" x14ac:dyDescent="0.2">
      <c r="F67">
        <f t="shared" si="31"/>
        <v>-0.87999999999999989</v>
      </c>
      <c r="G67">
        <v>6.1659434807399549E-3</v>
      </c>
    </row>
    <row r="68" spans="6:7" x14ac:dyDescent="0.2">
      <c r="F68">
        <f t="shared" si="31"/>
        <v>-0.85999999999999988</v>
      </c>
      <c r="G68">
        <v>6.0937213457492589E-3</v>
      </c>
    </row>
    <row r="69" spans="6:7" x14ac:dyDescent="0.2">
      <c r="F69">
        <f t="shared" si="31"/>
        <v>-0.83999999999999986</v>
      </c>
      <c r="G69">
        <v>6.0215589641572365E-3</v>
      </c>
    </row>
    <row r="70" spans="6:7" x14ac:dyDescent="0.2">
      <c r="F70">
        <f t="shared" si="31"/>
        <v>-0.81999999999999984</v>
      </c>
      <c r="G70">
        <v>5.9494567579077007E-3</v>
      </c>
    </row>
    <row r="71" spans="6:7" x14ac:dyDescent="0.2">
      <c r="F71">
        <f t="shared" si="31"/>
        <v>-0.79999999999999982</v>
      </c>
      <c r="G71">
        <v>5.8774151521878704E-3</v>
      </c>
    </row>
    <row r="72" spans="6:7" x14ac:dyDescent="0.2">
      <c r="F72">
        <f t="shared" si="31"/>
        <v>-0.7799999999999998</v>
      </c>
      <c r="G72">
        <v>5.8054345754372516E-3</v>
      </c>
    </row>
    <row r="73" spans="6:7" x14ac:dyDescent="0.2">
      <c r="F73">
        <f t="shared" si="31"/>
        <v>-0.75999999999999979</v>
      </c>
      <c r="G73">
        <v>5.7335154593802784E-3</v>
      </c>
    </row>
    <row r="74" spans="6:7" x14ac:dyDescent="0.2">
      <c r="F74">
        <f t="shared" si="31"/>
        <v>-0.73999999999999977</v>
      </c>
      <c r="G74">
        <v>5.6616582390538461E-3</v>
      </c>
    </row>
    <row r="75" spans="6:7" x14ac:dyDescent="0.2">
      <c r="F75">
        <f t="shared" si="31"/>
        <v>-0.71999999999999975</v>
      </c>
      <c r="G75">
        <v>5.5898633528221886E-3</v>
      </c>
    </row>
    <row r="76" spans="6:7" x14ac:dyDescent="0.2">
      <c r="F76">
        <f t="shared" si="31"/>
        <v>-0.69999999999999973</v>
      </c>
      <c r="G76">
        <v>5.5181312424146256E-3</v>
      </c>
    </row>
    <row r="77" spans="6:7" x14ac:dyDescent="0.2">
      <c r="F77">
        <f t="shared" si="31"/>
        <v>-0.67999999999999972</v>
      </c>
      <c r="G77">
        <v>5.4464623529455469E-3</v>
      </c>
    </row>
    <row r="78" spans="6:7" x14ac:dyDescent="0.2">
      <c r="F78">
        <f t="shared" si="31"/>
        <v>-0.6599999999999997</v>
      </c>
      <c r="G78">
        <v>5.3748571329548245E-3</v>
      </c>
    </row>
    <row r="79" spans="6:7" x14ac:dyDescent="0.2">
      <c r="F79">
        <f t="shared" si="31"/>
        <v>-0.63999999999999968</v>
      </c>
      <c r="G79">
        <v>5.3033160343887165E-3</v>
      </c>
    </row>
    <row r="80" spans="6:7" x14ac:dyDescent="0.2">
      <c r="F80">
        <f t="shared" si="31"/>
        <v>-0.61999999999999966</v>
      </c>
      <c r="G80">
        <v>5.2318395127091133E-3</v>
      </c>
    </row>
    <row r="81" spans="6:7" x14ac:dyDescent="0.2">
      <c r="F81">
        <f t="shared" si="31"/>
        <v>-0.59999999999999964</v>
      </c>
      <c r="G81">
        <v>5.1604280268069402E-3</v>
      </c>
    </row>
    <row r="82" spans="6:7" x14ac:dyDescent="0.2">
      <c r="F82">
        <f t="shared" si="31"/>
        <v>-0.57999999999999963</v>
      </c>
      <c r="G82">
        <v>5.089082039144488E-3</v>
      </c>
    </row>
    <row r="83" spans="6:7" x14ac:dyDescent="0.2">
      <c r="F83">
        <f t="shared" si="31"/>
        <v>-0.55999999999999961</v>
      </c>
      <c r="G83">
        <v>5.0178020156763647E-3</v>
      </c>
    </row>
    <row r="84" spans="6:7" x14ac:dyDescent="0.2">
      <c r="F84">
        <f t="shared" si="31"/>
        <v>-0.53999999999999959</v>
      </c>
      <c r="G84">
        <v>4.9465884259360937E-3</v>
      </c>
    </row>
    <row r="85" spans="6:7" x14ac:dyDescent="0.2">
      <c r="F85">
        <f t="shared" si="31"/>
        <v>-0.51999999999999957</v>
      </c>
      <c r="G85">
        <v>4.8754417430574293E-3</v>
      </c>
    </row>
    <row r="86" spans="6:7" x14ac:dyDescent="0.2">
      <c r="F86">
        <f t="shared" si="31"/>
        <v>-0.49999999999999956</v>
      </c>
      <c r="G86">
        <v>4.8043624437743571E-3</v>
      </c>
    </row>
    <row r="87" spans="6:7" x14ac:dyDescent="0.2">
      <c r="F87">
        <f t="shared" si="31"/>
        <v>-0.47999999999999954</v>
      </c>
      <c r="G87">
        <v>4.7333510084659469E-3</v>
      </c>
    </row>
    <row r="88" spans="6:7" x14ac:dyDescent="0.2">
      <c r="F88">
        <f t="shared" si="31"/>
        <v>-0.45999999999999952</v>
      </c>
      <c r="G88">
        <v>4.6624079211472491E-3</v>
      </c>
    </row>
    <row r="89" spans="6:7" x14ac:dyDescent="0.2">
      <c r="F89">
        <f t="shared" si="31"/>
        <v>-0.4399999999999995</v>
      </c>
      <c r="G89">
        <v>4.5915336695299125E-3</v>
      </c>
    </row>
    <row r="90" spans="6:7" x14ac:dyDescent="0.2">
      <c r="F90">
        <f t="shared" si="31"/>
        <v>-0.41999999999999948</v>
      </c>
      <c r="G90">
        <v>4.5207287450379496E-3</v>
      </c>
    </row>
    <row r="91" spans="6:7" x14ac:dyDescent="0.2">
      <c r="F91">
        <f t="shared" si="31"/>
        <v>-0.39999999999999947</v>
      </c>
      <c r="G91">
        <v>4.4499936428057385E-3</v>
      </c>
    </row>
    <row r="92" spans="6:7" x14ac:dyDescent="0.2">
      <c r="F92">
        <f t="shared" si="31"/>
        <v>-0.37999999999999945</v>
      </c>
      <c r="G92">
        <v>4.3793288617126613E-3</v>
      </c>
    </row>
    <row r="93" spans="6:7" x14ac:dyDescent="0.2">
      <c r="F93">
        <f t="shared" si="31"/>
        <v>-0.35999999999999943</v>
      </c>
      <c r="G93">
        <v>4.3087349044130807E-3</v>
      </c>
    </row>
    <row r="94" spans="6:7" x14ac:dyDescent="0.2">
      <c r="F94">
        <f t="shared" si="31"/>
        <v>-0.33999999999999941</v>
      </c>
      <c r="G94">
        <v>4.2382122773232389E-3</v>
      </c>
    </row>
    <row r="95" spans="6:7" x14ac:dyDescent="0.2">
      <c r="F95">
        <f t="shared" si="31"/>
        <v>-0.3199999999999994</v>
      </c>
      <c r="G95">
        <v>4.1677614906692195E-3</v>
      </c>
    </row>
    <row r="96" spans="6:7" x14ac:dyDescent="0.2">
      <c r="F96">
        <f t="shared" si="31"/>
        <v>-0.29999999999999938</v>
      </c>
      <c r="G96">
        <v>4.0973830585058213E-3</v>
      </c>
    </row>
    <row r="97" spans="6:7" x14ac:dyDescent="0.2">
      <c r="F97">
        <f t="shared" si="31"/>
        <v>-0.27999999999999936</v>
      </c>
      <c r="G97">
        <v>4.0270774986983504E-3</v>
      </c>
    </row>
    <row r="98" spans="6:7" x14ac:dyDescent="0.2">
      <c r="F98">
        <f t="shared" si="31"/>
        <v>-0.25999999999999934</v>
      </c>
      <c r="G98">
        <v>3.9568453329423825E-3</v>
      </c>
    </row>
    <row r="99" spans="6:7" x14ac:dyDescent="0.2">
      <c r="F99">
        <f t="shared" si="31"/>
        <v>-0.23999999999999935</v>
      </c>
      <c r="G99">
        <v>3.886687086800622E-3</v>
      </c>
    </row>
    <row r="100" spans="6:7" x14ac:dyDescent="0.2">
      <c r="F100">
        <f t="shared" si="31"/>
        <v>-0.21999999999999936</v>
      </c>
      <c r="G100">
        <v>3.8166032896693736E-3</v>
      </c>
    </row>
    <row r="101" spans="6:7" x14ac:dyDescent="0.2">
      <c r="F101">
        <f t="shared" si="31"/>
        <v>-0.19999999999999937</v>
      </c>
      <c r="G101">
        <v>3.746594474819398E-3</v>
      </c>
    </row>
    <row r="102" spans="6:7" x14ac:dyDescent="0.2">
      <c r="F102">
        <f t="shared" si="31"/>
        <v>-0.17999999999999938</v>
      </c>
      <c r="G102">
        <v>3.6766611793639381E-3</v>
      </c>
    </row>
    <row r="103" spans="6:7" x14ac:dyDescent="0.2">
      <c r="F103">
        <f t="shared" si="31"/>
        <v>-0.15999999999999939</v>
      </c>
      <c r="G103">
        <v>3.6068039442846977E-3</v>
      </c>
    </row>
    <row r="104" spans="6:7" x14ac:dyDescent="0.2">
      <c r="F104">
        <f t="shared" si="31"/>
        <v>-0.1399999999999994</v>
      </c>
      <c r="G104">
        <v>3.5370233143916519E-3</v>
      </c>
    </row>
    <row r="105" spans="6:7" x14ac:dyDescent="0.2">
      <c r="F105">
        <f t="shared" si="31"/>
        <v>-0.1199999999999994</v>
      </c>
      <c r="G105">
        <v>3.4673198383714521E-3</v>
      </c>
    </row>
    <row r="106" spans="6:7" x14ac:dyDescent="0.2">
      <c r="F106">
        <f t="shared" si="31"/>
        <v>-9.9999999999999395E-2</v>
      </c>
      <c r="G106">
        <v>3.3976940686770707E-3</v>
      </c>
    </row>
    <row r="107" spans="6:7" x14ac:dyDescent="0.2">
      <c r="F107">
        <f t="shared" si="31"/>
        <v>-7.9999999999999391E-2</v>
      </c>
      <c r="G107">
        <v>3.3281465616161743E-3</v>
      </c>
    </row>
    <row r="108" spans="6:7" x14ac:dyDescent="0.2">
      <c r="F108">
        <f t="shared" si="31"/>
        <v>-5.9999999999999387E-2</v>
      </c>
      <c r="G108">
        <v>3.2586778772318858E-3</v>
      </c>
    </row>
    <row r="109" spans="6:7" x14ac:dyDescent="0.2">
      <c r="F109">
        <f t="shared" si="31"/>
        <v>-3.9999999999999383E-2</v>
      </c>
      <c r="G109">
        <v>3.1892885793576298E-3</v>
      </c>
    </row>
    <row r="110" spans="6:7" x14ac:dyDescent="0.2">
      <c r="F110">
        <f t="shared" si="31"/>
        <v>-1.9999999999999383E-2</v>
      </c>
      <c r="G110">
        <v>3.1199792354794642E-3</v>
      </c>
    </row>
    <row r="111" spans="6:7" x14ac:dyDescent="0.2">
      <c r="F111">
        <f t="shared" si="31"/>
        <v>6.1756155744774333E-16</v>
      </c>
      <c r="G111">
        <v>3.0507504168295618E-3</v>
      </c>
    </row>
    <row r="112" spans="6:7" x14ac:dyDescent="0.2">
      <c r="F112">
        <f t="shared" si="31"/>
        <v>2.0000000000000618E-2</v>
      </c>
      <c r="G112">
        <v>2.9816026982183441E-3</v>
      </c>
    </row>
    <row r="113" spans="6:7" x14ac:dyDescent="0.2">
      <c r="F113">
        <f t="shared" si="31"/>
        <v>4.0000000000000618E-2</v>
      </c>
      <c r="G113">
        <v>2.9125366580400325E-3</v>
      </c>
    </row>
    <row r="114" spans="6:7" x14ac:dyDescent="0.2">
      <c r="F114">
        <f t="shared" si="31"/>
        <v>6.0000000000000622E-2</v>
      </c>
      <c r="G114">
        <v>2.8435528782111419E-3</v>
      </c>
    </row>
    <row r="115" spans="6:7" x14ac:dyDescent="0.2">
      <c r="F115">
        <f t="shared" si="31"/>
        <v>8.0000000000000626E-2</v>
      </c>
      <c r="G115">
        <v>2.7746519440707829E-3</v>
      </c>
    </row>
    <row r="116" spans="6:7" x14ac:dyDescent="0.2">
      <c r="F116">
        <f t="shared" si="31"/>
        <v>0.10000000000000063</v>
      </c>
      <c r="G116">
        <v>2.7058344443824378E-3</v>
      </c>
    </row>
    <row r="117" spans="6:7" x14ac:dyDescent="0.2">
      <c r="F117">
        <f t="shared" si="31"/>
        <v>0.12000000000000063</v>
      </c>
      <c r="G117">
        <v>2.6371009711483318E-3</v>
      </c>
    </row>
    <row r="118" spans="6:7" x14ac:dyDescent="0.2">
      <c r="F118">
        <f t="shared" si="31"/>
        <v>0.14000000000000062</v>
      </c>
      <c r="G118">
        <v>2.5684521196380761E-3</v>
      </c>
    </row>
    <row r="119" spans="6:7" x14ac:dyDescent="0.2">
      <c r="F119">
        <f t="shared" si="31"/>
        <v>0.16000000000000061</v>
      </c>
      <c r="G119">
        <v>2.4998884881992645E-3</v>
      </c>
    </row>
    <row r="120" spans="6:7" x14ac:dyDescent="0.2">
      <c r="F120">
        <f t="shared" si="31"/>
        <v>0.1800000000000006</v>
      </c>
      <c r="G120">
        <v>2.4314106782068468E-3</v>
      </c>
    </row>
    <row r="121" spans="6:7" x14ac:dyDescent="0.2">
      <c r="F121">
        <f t="shared" si="31"/>
        <v>0.20000000000000059</v>
      </c>
      <c r="G121">
        <v>2.3630192939880779E-3</v>
      </c>
    </row>
    <row r="122" spans="6:7" x14ac:dyDescent="0.2">
      <c r="F122">
        <f t="shared" si="31"/>
        <v>0.22000000000000058</v>
      </c>
      <c r="G122">
        <v>2.2947149426031377E-3</v>
      </c>
    </row>
    <row r="123" spans="6:7" x14ac:dyDescent="0.2">
      <c r="F123">
        <f t="shared" si="31"/>
        <v>0.24000000000000057</v>
      </c>
      <c r="G123">
        <v>2.2264982338457973E-3</v>
      </c>
    </row>
    <row r="124" spans="6:7" x14ac:dyDescent="0.2">
      <c r="F124">
        <f t="shared" si="31"/>
        <v>0.26000000000000056</v>
      </c>
      <c r="G124">
        <v>2.1583697800187096E-3</v>
      </c>
    </row>
    <row r="125" spans="6:7" x14ac:dyDescent="0.2">
      <c r="F125">
        <f t="shared" si="31"/>
        <v>0.28000000000000058</v>
      </c>
      <c r="G125">
        <v>2.0903301958941078E-3</v>
      </c>
    </row>
    <row r="126" spans="6:7" x14ac:dyDescent="0.2">
      <c r="F126">
        <f t="shared" si="31"/>
        <v>0.3000000000000006</v>
      </c>
      <c r="G126">
        <v>2.0223800984600082E-3</v>
      </c>
    </row>
    <row r="127" spans="6:7" x14ac:dyDescent="0.2">
      <c r="F127">
        <f t="shared" ref="F127:F161" si="32">F126+$D$61</f>
        <v>0.32000000000000062</v>
      </c>
      <c r="G127">
        <v>1.9545201068797979E-3</v>
      </c>
    </row>
    <row r="128" spans="6:7" x14ac:dyDescent="0.2">
      <c r="F128">
        <f t="shared" si="32"/>
        <v>0.34000000000000064</v>
      </c>
      <c r="G128">
        <v>1.8867508422633072E-3</v>
      </c>
    </row>
    <row r="129" spans="6:7" x14ac:dyDescent="0.2">
      <c r="F129">
        <f t="shared" si="32"/>
        <v>0.36000000000000065</v>
      </c>
      <c r="G129">
        <v>1.8190729275526785E-3</v>
      </c>
    </row>
    <row r="130" spans="6:7" x14ac:dyDescent="0.2">
      <c r="F130">
        <f t="shared" si="32"/>
        <v>0.38000000000000067</v>
      </c>
      <c r="G130">
        <v>1.7514869873149763E-3</v>
      </c>
    </row>
    <row r="131" spans="6:7" x14ac:dyDescent="0.2">
      <c r="F131">
        <f t="shared" si="32"/>
        <v>0.40000000000000069</v>
      </c>
      <c r="G131">
        <v>1.6839936476489292E-3</v>
      </c>
    </row>
    <row r="132" spans="6:7" x14ac:dyDescent="0.2">
      <c r="F132">
        <f t="shared" si="32"/>
        <v>0.42000000000000071</v>
      </c>
      <c r="G132">
        <v>1.6165935358638528E-3</v>
      </c>
    </row>
    <row r="133" spans="6:7" x14ac:dyDescent="0.2">
      <c r="F133">
        <f t="shared" si="32"/>
        <v>0.44000000000000072</v>
      </c>
      <c r="G133">
        <v>1.549287280475431E-3</v>
      </c>
    </row>
    <row r="134" spans="6:7" x14ac:dyDescent="0.2">
      <c r="F134">
        <f t="shared" si="32"/>
        <v>0.46000000000000074</v>
      </c>
      <c r="G134">
        <v>1.4820755108702066E-3</v>
      </c>
    </row>
    <row r="135" spans="6:7" x14ac:dyDescent="0.2">
      <c r="F135">
        <f t="shared" si="32"/>
        <v>0.48000000000000076</v>
      </c>
      <c r="G135">
        <v>1.414958857218318E-3</v>
      </c>
    </row>
    <row r="136" spans="6:7" x14ac:dyDescent="0.2">
      <c r="F136">
        <f t="shared" si="32"/>
        <v>0.50000000000000078</v>
      </c>
      <c r="G136">
        <v>1.3479379501624145E-3</v>
      </c>
    </row>
    <row r="137" spans="6:7" x14ac:dyDescent="0.2">
      <c r="F137">
        <f t="shared" si="32"/>
        <v>0.52000000000000079</v>
      </c>
      <c r="G137">
        <v>1.2810134207696944E-3</v>
      </c>
    </row>
    <row r="138" spans="6:7" x14ac:dyDescent="0.2">
      <c r="F138">
        <f t="shared" si="32"/>
        <v>0.54000000000000081</v>
      </c>
      <c r="G138">
        <v>1.2141859001737476E-3</v>
      </c>
    </row>
    <row r="139" spans="6:7" x14ac:dyDescent="0.2">
      <c r="F139">
        <f t="shared" si="32"/>
        <v>0.56000000000000083</v>
      </c>
      <c r="G139">
        <v>1.1474560194724148E-3</v>
      </c>
    </row>
    <row r="140" spans="6:7" x14ac:dyDescent="0.2">
      <c r="F140">
        <f t="shared" si="32"/>
        <v>0.58000000000000085</v>
      </c>
      <c r="G140">
        <v>1.0808244094624442E-3</v>
      </c>
    </row>
    <row r="141" spans="6:7" x14ac:dyDescent="0.2">
      <c r="F141">
        <f t="shared" si="32"/>
        <v>0.60000000000000087</v>
      </c>
      <c r="G141">
        <v>1.0142917004698493E-3</v>
      </c>
    </row>
    <row r="142" spans="6:7" x14ac:dyDescent="0.2">
      <c r="F142">
        <f t="shared" si="32"/>
        <v>0.62000000000000088</v>
      </c>
      <c r="G142">
        <v>9.47858522055256E-4</v>
      </c>
    </row>
    <row r="143" spans="6:7" x14ac:dyDescent="0.2">
      <c r="F143">
        <f t="shared" si="32"/>
        <v>0.6400000000000009</v>
      </c>
      <c r="G143">
        <v>8.8152550290199194E-4</v>
      </c>
    </row>
    <row r="144" spans="6:7" x14ac:dyDescent="0.2">
      <c r="F144">
        <f t="shared" si="32"/>
        <v>0.66000000000000092</v>
      </c>
      <c r="G144">
        <v>8.1529327049811862E-4</v>
      </c>
    </row>
    <row r="145" spans="6:7" x14ac:dyDescent="0.2">
      <c r="F145">
        <f t="shared" si="32"/>
        <v>0.68000000000000094</v>
      </c>
      <c r="G145">
        <v>7.4916245098677337E-4</v>
      </c>
    </row>
    <row r="146" spans="6:7" x14ac:dyDescent="0.2">
      <c r="F146">
        <f t="shared" si="32"/>
        <v>0.70000000000000095</v>
      </c>
      <c r="G146">
        <v>6.8313366890260241E-4</v>
      </c>
    </row>
    <row r="147" spans="6:7" x14ac:dyDescent="0.2">
      <c r="F147">
        <f t="shared" si="32"/>
        <v>0.72000000000000097</v>
      </c>
      <c r="G147">
        <v>6.1720754694682967E-4</v>
      </c>
    </row>
    <row r="148" spans="6:7" x14ac:dyDescent="0.2">
      <c r="F148">
        <f t="shared" si="32"/>
        <v>0.74000000000000099</v>
      </c>
      <c r="G148">
        <v>5.5138470579141341E-4</v>
      </c>
    </row>
    <row r="149" spans="6:7" x14ac:dyDescent="0.2">
      <c r="F149">
        <f t="shared" si="32"/>
        <v>0.76000000000000101</v>
      </c>
      <c r="G149">
        <v>4.8566576383368698E-4</v>
      </c>
    </row>
    <row r="150" spans="6:7" x14ac:dyDescent="0.2">
      <c r="F150">
        <f t="shared" si="32"/>
        <v>0.78000000000000103</v>
      </c>
      <c r="G150">
        <v>4.200513369694292E-4</v>
      </c>
    </row>
    <row r="151" spans="6:7" x14ac:dyDescent="0.2">
      <c r="F151">
        <f t="shared" si="32"/>
        <v>0.80000000000000104</v>
      </c>
      <c r="G151">
        <v>3.5454203839546672E-4</v>
      </c>
    </row>
    <row r="152" spans="6:7" x14ac:dyDescent="0.2">
      <c r="F152">
        <f t="shared" si="32"/>
        <v>0.82000000000000106</v>
      </c>
      <c r="G152">
        <v>2.8913847835210227E-4</v>
      </c>
    </row>
    <row r="153" spans="6:7" x14ac:dyDescent="0.2">
      <c r="F153">
        <f t="shared" si="32"/>
        <v>0.84000000000000108</v>
      </c>
      <c r="G153">
        <v>2.2384126393526493E-4</v>
      </c>
    </row>
    <row r="154" spans="6:7" x14ac:dyDescent="0.2">
      <c r="F154">
        <f t="shared" si="32"/>
        <v>0.8600000000000011</v>
      </c>
      <c r="G154">
        <v>1.5865099882161893E-4</v>
      </c>
    </row>
    <row r="155" spans="6:7" x14ac:dyDescent="0.2">
      <c r="F155">
        <f t="shared" si="32"/>
        <v>0.88000000000000111</v>
      </c>
      <c r="G155">
        <v>9.3568283126677088E-5</v>
      </c>
    </row>
    <row r="156" spans="6:7" x14ac:dyDescent="0.2">
      <c r="F156">
        <f t="shared" si="32"/>
        <v>0.90000000000000113</v>
      </c>
      <c r="G156">
        <v>2.8593713146785049E-5</v>
      </c>
    </row>
    <row r="157" spans="6:7" x14ac:dyDescent="0.2">
      <c r="F157">
        <f t="shared" si="32"/>
        <v>0.92000000000000115</v>
      </c>
      <c r="G157">
        <v>3.627211887091697E-5</v>
      </c>
    </row>
    <row r="158" spans="6:7" x14ac:dyDescent="0.2">
      <c r="F158">
        <f t="shared" si="32"/>
        <v>0.94000000000000117</v>
      </c>
      <c r="G158">
        <v>1.0102862492522569E-4</v>
      </c>
    </row>
    <row r="159" spans="6:7" x14ac:dyDescent="0.2">
      <c r="F159">
        <f t="shared" si="32"/>
        <v>0.96000000000000119</v>
      </c>
      <c r="G159">
        <v>1.6567522143828839E-4</v>
      </c>
    </row>
    <row r="160" spans="6:7" x14ac:dyDescent="0.2">
      <c r="F160">
        <f t="shared" si="32"/>
        <v>0.9800000000000012</v>
      </c>
      <c r="G160">
        <v>2.3021132952583123E-4</v>
      </c>
    </row>
    <row r="161" spans="6:7" x14ac:dyDescent="0.2">
      <c r="F161">
        <f t="shared" si="32"/>
        <v>1.0000000000000011</v>
      </c>
      <c r="G161">
        <v>2.9463637513482688E-4</v>
      </c>
    </row>
  </sheetData>
  <dataConsolidate/>
  <dataValidations count="1">
    <dataValidation type="list" allowBlank="1" showInputMessage="1" showErrorMessage="1" sqref="D12" xr:uid="{414D29E6-9437-5C44-AE04-3723B9DB8106}">
      <formula1>$A$12:$A$14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raw">
                <anchor moveWithCells="1" sizeWithCells="1">
                  <from>
                    <xdr:col>8</xdr:col>
                    <xdr:colOff>698500</xdr:colOff>
                    <xdr:row>59</xdr:row>
                    <xdr:rowOff>12700</xdr:rowOff>
                  </from>
                  <to>
                    <xdr:col>10</xdr:col>
                    <xdr:colOff>304800</xdr:colOff>
                    <xdr:row>60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4343-7C01-0648-AE2C-27C5FB6E9D29}">
  <sheetPr codeName="Sheet2"/>
  <dimension ref="A1:T108"/>
  <sheetViews>
    <sheetView topLeftCell="E64" workbookViewId="0">
      <selection activeCell="M28" sqref="M28"/>
    </sheetView>
  </sheetViews>
  <sheetFormatPr baseColWidth="10" defaultRowHeight="16" x14ac:dyDescent="0.2"/>
  <sheetData>
    <row r="1" spans="1:20" x14ac:dyDescent="0.2">
      <c r="D1" s="4" t="s">
        <v>16</v>
      </c>
      <c r="E1" s="4">
        <f>'with k '!D20</f>
        <v>0.11727639245697463</v>
      </c>
      <c r="G1" s="4" t="s">
        <v>9</v>
      </c>
      <c r="H1" s="4">
        <f>'with k '!D13</f>
        <v>0</v>
      </c>
    </row>
    <row r="2" spans="1:20" x14ac:dyDescent="0.2">
      <c r="A2" s="4" t="s">
        <v>21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</row>
    <row r="3" spans="1:20" x14ac:dyDescent="0.2">
      <c r="A3" s="2">
        <v>1</v>
      </c>
      <c r="B3">
        <f>1+2*E1*H1</f>
        <v>1</v>
      </c>
      <c r="C3">
        <f>-$E$1*$H$1</f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">
      <c r="A4" s="2">
        <v>2</v>
      </c>
      <c r="B4">
        <f>-$E$1*$H$1</f>
        <v>0</v>
      </c>
      <c r="C4">
        <f>B3</f>
        <v>1</v>
      </c>
      <c r="D4" s="5">
        <f>C3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">
      <c r="A5" s="2">
        <v>3</v>
      </c>
      <c r="B5">
        <v>0</v>
      </c>
      <c r="C5">
        <f>-$E$1*$H$1</f>
        <v>0</v>
      </c>
      <c r="D5">
        <f>C4</f>
        <v>1</v>
      </c>
      <c r="E5" s="5">
        <f>D4</f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">
      <c r="A6" s="2">
        <v>4</v>
      </c>
      <c r="B6">
        <v>0</v>
      </c>
      <c r="C6">
        <v>0</v>
      </c>
      <c r="D6">
        <f>-$E$1*$H$1</f>
        <v>0</v>
      </c>
      <c r="E6">
        <f>D5</f>
        <v>1</v>
      </c>
      <c r="F6" s="5">
        <f>E5</f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">
      <c r="A7" s="2">
        <v>5</v>
      </c>
      <c r="B7">
        <v>0</v>
      </c>
      <c r="C7">
        <v>0</v>
      </c>
      <c r="D7">
        <v>0</v>
      </c>
      <c r="E7">
        <f>-$E$1*$H$1</f>
        <v>0</v>
      </c>
      <c r="F7">
        <f>E6</f>
        <v>1</v>
      </c>
      <c r="G7" s="5">
        <f>F6</f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">
      <c r="A8" s="2">
        <v>6</v>
      </c>
      <c r="B8">
        <v>0</v>
      </c>
      <c r="C8">
        <v>0</v>
      </c>
      <c r="D8">
        <v>0</v>
      </c>
      <c r="E8">
        <v>0</v>
      </c>
      <c r="F8">
        <f>-$E$1*$H$1</f>
        <v>0</v>
      </c>
      <c r="G8">
        <f>F7</f>
        <v>1</v>
      </c>
      <c r="H8" s="5">
        <f>G7</f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s="2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f>-$E$1*$H$1</f>
        <v>0</v>
      </c>
      <c r="H9">
        <f>G8</f>
        <v>1</v>
      </c>
      <c r="I9" s="5">
        <f>H8</f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s="2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f>-$E$1*$H$1</f>
        <v>0</v>
      </c>
      <c r="I10">
        <f>H9</f>
        <v>1</v>
      </c>
      <c r="J10" s="5">
        <f>I9</f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s="2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f>-$E$1*$H$1</f>
        <v>0</v>
      </c>
      <c r="J11">
        <f>I10</f>
        <v>1</v>
      </c>
      <c r="K11" s="5">
        <f>J10</f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">
      <c r="A12" s="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f>-$E$1*$H$1</f>
        <v>0</v>
      </c>
      <c r="K12">
        <f>J11</f>
        <v>1</v>
      </c>
      <c r="L12" s="5">
        <f>K11</f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 s="2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f>-$E$1*$H$1</f>
        <v>0</v>
      </c>
      <c r="L13">
        <f>K12</f>
        <v>1</v>
      </c>
      <c r="M13" s="5">
        <f>L12</f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 s="2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>-$E$1*$H$1</f>
        <v>0</v>
      </c>
      <c r="M14">
        <f>L13</f>
        <v>1</v>
      </c>
      <c r="N14" s="5">
        <f>M13</f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 s="2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f>-$E$1*$H$1</f>
        <v>0</v>
      </c>
      <c r="N15">
        <f>M14</f>
        <v>1</v>
      </c>
      <c r="O15" s="5">
        <f>N14</f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 s="2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f>-$E$1*$H$1</f>
        <v>0</v>
      </c>
      <c r="O16">
        <f>N15</f>
        <v>1</v>
      </c>
      <c r="P16" s="5">
        <f>O15</f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 s="2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f>-$E$1*$H$1</f>
        <v>0</v>
      </c>
      <c r="P17">
        <f>O16</f>
        <v>1</v>
      </c>
      <c r="Q17" s="5">
        <f>P16</f>
        <v>0</v>
      </c>
      <c r="R17">
        <v>0</v>
      </c>
      <c r="S17">
        <v>0</v>
      </c>
      <c r="T17">
        <v>0</v>
      </c>
    </row>
    <row r="18" spans="1:20" x14ac:dyDescent="0.2">
      <c r="A18" s="2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f>-$E$1*$H$1</f>
        <v>0</v>
      </c>
      <c r="Q18">
        <f>P17</f>
        <v>1</v>
      </c>
      <c r="R18" s="5">
        <f>Q17</f>
        <v>0</v>
      </c>
      <c r="S18">
        <v>0</v>
      </c>
      <c r="T18">
        <v>0</v>
      </c>
    </row>
    <row r="19" spans="1:20" x14ac:dyDescent="0.2">
      <c r="A19" s="2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f>-$E$1*$H$1</f>
        <v>0</v>
      </c>
      <c r="R19">
        <f>Q18</f>
        <v>1</v>
      </c>
      <c r="S19" s="5">
        <f>R18</f>
        <v>0</v>
      </c>
      <c r="T19">
        <v>0</v>
      </c>
    </row>
    <row r="20" spans="1:20" x14ac:dyDescent="0.2">
      <c r="A20" s="2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f>-$E$1*$H$1</f>
        <v>0</v>
      </c>
      <c r="S20">
        <f>R19</f>
        <v>1</v>
      </c>
      <c r="T20" s="5">
        <f>S19</f>
        <v>0</v>
      </c>
    </row>
    <row r="21" spans="1:20" x14ac:dyDescent="0.2">
      <c r="A21" s="2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f>-$E$1*$H$1</f>
        <v>0</v>
      </c>
      <c r="T21">
        <f>S20</f>
        <v>1</v>
      </c>
    </row>
    <row r="23" spans="1:20" x14ac:dyDescent="0.2">
      <c r="A23" s="4" t="s">
        <v>22</v>
      </c>
    </row>
    <row r="24" spans="1:20" x14ac:dyDescent="0.2">
      <c r="A24" s="2">
        <v>1</v>
      </c>
      <c r="B24">
        <f>1-2*E1*(1-H1)</f>
        <v>0.76544721508605074</v>
      </c>
      <c r="C24">
        <f>E1*(1-H1)</f>
        <v>0.11727639245697463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">
      <c r="A25" s="2">
        <v>2</v>
      </c>
      <c r="B25">
        <f>E1*(1-H1)</f>
        <v>0.11727639245697463</v>
      </c>
      <c r="C25">
        <f>B24</f>
        <v>0.76544721508605074</v>
      </c>
      <c r="D25">
        <f>C24</f>
        <v>0.11727639245697463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">
      <c r="A26" s="2">
        <v>3</v>
      </c>
      <c r="B26">
        <v>0</v>
      </c>
      <c r="C26">
        <f>B25</f>
        <v>0.11727639245697463</v>
      </c>
      <c r="D26">
        <f>C25</f>
        <v>0.76544721508605074</v>
      </c>
      <c r="E26">
        <f>D25</f>
        <v>0.11727639245697463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">
      <c r="A27" s="2">
        <v>4</v>
      </c>
      <c r="B27">
        <v>0</v>
      </c>
      <c r="C27">
        <v>0</v>
      </c>
      <c r="D27">
        <f>C26</f>
        <v>0.11727639245697463</v>
      </c>
      <c r="E27">
        <f>D26</f>
        <v>0.76544721508605074</v>
      </c>
      <c r="F27">
        <f>E26</f>
        <v>0.11727639245697463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">
      <c r="A28" s="2">
        <v>5</v>
      </c>
      <c r="B28">
        <v>0</v>
      </c>
      <c r="C28">
        <v>0</v>
      </c>
      <c r="D28">
        <v>0</v>
      </c>
      <c r="E28">
        <f>D27</f>
        <v>0.11727639245697463</v>
      </c>
      <c r="F28">
        <f>E27</f>
        <v>0.76544721508605074</v>
      </c>
      <c r="G28">
        <f>F27</f>
        <v>0.11727639245697463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">
      <c r="A29" s="2">
        <v>6</v>
      </c>
      <c r="B29">
        <v>0</v>
      </c>
      <c r="C29">
        <v>0</v>
      </c>
      <c r="D29">
        <v>0</v>
      </c>
      <c r="E29">
        <v>0</v>
      </c>
      <c r="F29">
        <f>E28</f>
        <v>0.11727639245697463</v>
      </c>
      <c r="G29">
        <f>F28</f>
        <v>0.76544721508605074</v>
      </c>
      <c r="H29">
        <f>G28</f>
        <v>0.11727639245697463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">
      <c r="A30" s="2">
        <v>7</v>
      </c>
      <c r="B30">
        <v>0</v>
      </c>
      <c r="C30">
        <v>0</v>
      </c>
      <c r="D30">
        <v>0</v>
      </c>
      <c r="E30">
        <v>0</v>
      </c>
      <c r="F30">
        <v>0</v>
      </c>
      <c r="G30">
        <f>F29</f>
        <v>0.11727639245697463</v>
      </c>
      <c r="H30">
        <f>G29</f>
        <v>0.76544721508605074</v>
      </c>
      <c r="I30">
        <f>H29</f>
        <v>0.11727639245697463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">
      <c r="A31" s="2">
        <v>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f>G30</f>
        <v>0.11727639245697463</v>
      </c>
      <c r="I31">
        <f>H30</f>
        <v>0.76544721508605074</v>
      </c>
      <c r="J31">
        <f>I30</f>
        <v>0.11727639245697463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">
      <c r="A32" s="2">
        <v>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f>H31</f>
        <v>0.11727639245697463</v>
      </c>
      <c r="J32">
        <f>I31</f>
        <v>0.76544721508605074</v>
      </c>
      <c r="K32">
        <f>J31</f>
        <v>0.11727639245697463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">
      <c r="A33" s="2">
        <v>10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f>I32</f>
        <v>0.11727639245697463</v>
      </c>
      <c r="K33">
        <f>J32</f>
        <v>0.76544721508605074</v>
      </c>
      <c r="L33">
        <f>K32</f>
        <v>0.11727639245697463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">
      <c r="A34" s="2">
        <v>11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f>J33</f>
        <v>0.11727639245697463</v>
      </c>
      <c r="L34">
        <f>K33</f>
        <v>0.76544721508605074</v>
      </c>
      <c r="M34">
        <f>L33</f>
        <v>0.11727639245697463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">
      <c r="A35" s="2">
        <v>12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>K34</f>
        <v>0.11727639245697463</v>
      </c>
      <c r="M35">
        <f>L34</f>
        <v>0.76544721508605074</v>
      </c>
      <c r="N35">
        <f>M34</f>
        <v>0.11727639245697463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">
      <c r="A36" s="2">
        <v>13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f>L35</f>
        <v>0.11727639245697463</v>
      </c>
      <c r="N36">
        <f>M35</f>
        <v>0.76544721508605074</v>
      </c>
      <c r="O36">
        <f>N35</f>
        <v>0.11727639245697463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">
      <c r="A37" s="2">
        <v>14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f>M36</f>
        <v>0.11727639245697463</v>
      </c>
      <c r="O37">
        <f>N36</f>
        <v>0.76544721508605074</v>
      </c>
      <c r="P37">
        <f>O36</f>
        <v>0.11727639245697463</v>
      </c>
      <c r="Q37">
        <v>0</v>
      </c>
      <c r="R37">
        <v>0</v>
      </c>
      <c r="S37">
        <v>0</v>
      </c>
      <c r="T37">
        <v>0</v>
      </c>
    </row>
    <row r="38" spans="1:20" x14ac:dyDescent="0.2">
      <c r="A38" s="2">
        <v>15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f>N37</f>
        <v>0.11727639245697463</v>
      </c>
      <c r="P38">
        <f>O37</f>
        <v>0.76544721508605074</v>
      </c>
      <c r="Q38">
        <f>P37</f>
        <v>0.11727639245697463</v>
      </c>
      <c r="R38">
        <v>0</v>
      </c>
      <c r="S38">
        <v>0</v>
      </c>
      <c r="T38">
        <v>0</v>
      </c>
    </row>
    <row r="39" spans="1:20" x14ac:dyDescent="0.2">
      <c r="A39" s="2">
        <v>16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>O38</f>
        <v>0.11727639245697463</v>
      </c>
      <c r="Q39">
        <f>P38</f>
        <v>0.76544721508605074</v>
      </c>
      <c r="R39">
        <f>Q38</f>
        <v>0.11727639245697463</v>
      </c>
      <c r="S39">
        <v>0</v>
      </c>
      <c r="T39">
        <v>0</v>
      </c>
    </row>
    <row r="40" spans="1:20" x14ac:dyDescent="0.2">
      <c r="A40" s="2">
        <v>17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f>P39</f>
        <v>0.11727639245697463</v>
      </c>
      <c r="R40">
        <f>Q39</f>
        <v>0.76544721508605074</v>
      </c>
      <c r="S40">
        <f>R39</f>
        <v>0.11727639245697463</v>
      </c>
      <c r="T40">
        <v>0</v>
      </c>
    </row>
    <row r="41" spans="1:20" x14ac:dyDescent="0.2">
      <c r="A41" s="2">
        <v>18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f>Q40</f>
        <v>0.11727639245697463</v>
      </c>
      <c r="S41">
        <f>R40</f>
        <v>0.76544721508605074</v>
      </c>
      <c r="T41">
        <f>S40</f>
        <v>0.11727639245697463</v>
      </c>
    </row>
    <row r="42" spans="1:20" x14ac:dyDescent="0.2">
      <c r="A42" s="2">
        <v>19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f>R41</f>
        <v>0.11727639245697463</v>
      </c>
      <c r="T42">
        <f>S41</f>
        <v>0.76544721508605074</v>
      </c>
    </row>
    <row r="44" spans="1:20" x14ac:dyDescent="0.2">
      <c r="A44" s="4" t="s">
        <v>23</v>
      </c>
      <c r="B44">
        <f t="array" ref="B44:T62">MMULT(MINVERSE(B3:T21),B24:T42)</f>
        <v>0.76544721508605074</v>
      </c>
      <c r="C44">
        <v>0.11727639245697463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">
      <c r="B45">
        <v>0.11727639245697463</v>
      </c>
      <c r="C45">
        <v>0.76544721508605074</v>
      </c>
      <c r="D45">
        <v>0.11727639245697463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">
      <c r="B46">
        <v>0</v>
      </c>
      <c r="C46">
        <v>0.11727639245697463</v>
      </c>
      <c r="D46">
        <v>0.76544721508605074</v>
      </c>
      <c r="E46">
        <v>0.11727639245697463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">
      <c r="B47">
        <v>0</v>
      </c>
      <c r="C47">
        <v>0</v>
      </c>
      <c r="D47">
        <v>0.11727639245697463</v>
      </c>
      <c r="E47">
        <v>0.76544721508605074</v>
      </c>
      <c r="F47">
        <v>0.11727639245697463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">
      <c r="B48">
        <v>0</v>
      </c>
      <c r="C48">
        <v>0</v>
      </c>
      <c r="D48">
        <v>0</v>
      </c>
      <c r="E48">
        <v>0.11727639245697463</v>
      </c>
      <c r="F48">
        <v>0.76544721508605074</v>
      </c>
      <c r="G48">
        <v>0.11727639245697463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">
      <c r="B49">
        <v>0</v>
      </c>
      <c r="C49">
        <v>0</v>
      </c>
      <c r="D49">
        <v>0</v>
      </c>
      <c r="E49">
        <v>0</v>
      </c>
      <c r="F49">
        <v>0.11727639245697463</v>
      </c>
      <c r="G49">
        <v>0.76544721508605074</v>
      </c>
      <c r="H49">
        <v>0.11727639245697463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">
      <c r="B50">
        <v>0</v>
      </c>
      <c r="C50">
        <v>0</v>
      </c>
      <c r="D50">
        <v>0</v>
      </c>
      <c r="E50">
        <v>0</v>
      </c>
      <c r="F50">
        <v>0</v>
      </c>
      <c r="G50">
        <v>0.11727639245697463</v>
      </c>
      <c r="H50">
        <v>0.76544721508605074</v>
      </c>
      <c r="I50">
        <v>0.11727639245697463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"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0.11727639245697463</v>
      </c>
      <c r="I51">
        <v>0.76544721508605074</v>
      </c>
      <c r="J51">
        <v>0.11727639245697463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"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0.11727639245697463</v>
      </c>
      <c r="J52">
        <v>0.76544721508605074</v>
      </c>
      <c r="K52">
        <v>0.11727639245697463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"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0.11727639245697463</v>
      </c>
      <c r="K53">
        <v>0.76544721508605074</v>
      </c>
      <c r="L53">
        <v>0.11727639245697463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0.11727639245697463</v>
      </c>
      <c r="L54">
        <v>0.76544721508605074</v>
      </c>
      <c r="M54">
        <v>0.11727639245697463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0.11727639245697463</v>
      </c>
      <c r="M55">
        <v>0.76544721508605074</v>
      </c>
      <c r="N55">
        <v>0.11727639245697463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0.11727639245697463</v>
      </c>
      <c r="N56">
        <v>0.76544721508605074</v>
      </c>
      <c r="O56">
        <v>0.11727639245697463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0.11727639245697463</v>
      </c>
      <c r="O57">
        <v>0.76544721508605074</v>
      </c>
      <c r="P57">
        <v>0.11727639245697463</v>
      </c>
      <c r="Q57">
        <v>0</v>
      </c>
      <c r="R57">
        <v>0</v>
      </c>
      <c r="S57">
        <v>0</v>
      </c>
      <c r="T57">
        <v>0</v>
      </c>
    </row>
    <row r="58" spans="1:20" x14ac:dyDescent="0.2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0.11727639245697463</v>
      </c>
      <c r="P58">
        <v>0.76544721508605074</v>
      </c>
      <c r="Q58">
        <v>0.11727639245697463</v>
      </c>
      <c r="R58">
        <v>0</v>
      </c>
      <c r="S58">
        <v>0</v>
      </c>
      <c r="T58">
        <v>0</v>
      </c>
    </row>
    <row r="59" spans="1:20" x14ac:dyDescent="0.2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0.11727639245697463</v>
      </c>
      <c r="Q59">
        <v>0.76544721508605074</v>
      </c>
      <c r="R59">
        <v>0.11727639245697463</v>
      </c>
      <c r="S59">
        <v>0</v>
      </c>
      <c r="T59">
        <v>0</v>
      </c>
    </row>
    <row r="60" spans="1:20" x14ac:dyDescent="0.2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0.11727639245697463</v>
      </c>
      <c r="R60">
        <v>0.76544721508605074</v>
      </c>
      <c r="S60">
        <v>0.11727639245697463</v>
      </c>
      <c r="T60">
        <v>0</v>
      </c>
    </row>
    <row r="61" spans="1:20" x14ac:dyDescent="0.2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0.11727639245697463</v>
      </c>
      <c r="S61">
        <v>0.76544721508605074</v>
      </c>
      <c r="T61">
        <v>0.11727639245697463</v>
      </c>
    </row>
    <row r="62" spans="1:20" x14ac:dyDescent="0.2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0.11727639245697463</v>
      </c>
      <c r="T62">
        <v>0.76544721508605074</v>
      </c>
    </row>
    <row r="63" spans="1:20" x14ac:dyDescent="0.2">
      <c r="A63" s="4" t="s">
        <v>25</v>
      </c>
    </row>
    <row r="64" spans="1:20" x14ac:dyDescent="0.2">
      <c r="A64">
        <f>'with k '!AB3</f>
        <v>6.014456593865436E-2</v>
      </c>
    </row>
    <row r="65" spans="1:20" x14ac:dyDescent="0.2">
      <c r="A65">
        <f>'with k '!AB4</f>
        <v>6.01548181806566E-2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f>$E$1*(1-$H$1)*A65+$E$1*$H$1*A64</f>
        <v>7.0547400651326357E-3</v>
      </c>
    </row>
    <row r="66" spans="1:20" x14ac:dyDescent="0.2">
      <c r="A66">
        <f>'with k '!AB5</f>
        <v>6.0165070214008853E-2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f t="shared" ref="T66:T87" si="0">$E$1*(1-$H$1)*A66+$E$1*$H$1*A65</f>
        <v>7.0559423866195367E-3</v>
      </c>
    </row>
    <row r="67" spans="1:20" x14ac:dyDescent="0.2">
      <c r="A67">
        <f>'with k '!AB6</f>
        <v>6.0175322038715007E-2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f t="shared" si="0"/>
        <v>7.057144683637176E-3</v>
      </c>
    </row>
    <row r="68" spans="1:20" x14ac:dyDescent="0.2">
      <c r="A68">
        <f>'with k '!AB7</f>
        <v>6.0185573654778279E-2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f t="shared" si="0"/>
        <v>7.0583469561859308E-3</v>
      </c>
    </row>
    <row r="69" spans="1:20" x14ac:dyDescent="0.2">
      <c r="A69">
        <f>'with k '!AB8</f>
        <v>6.0195825062202446E-2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f t="shared" si="0"/>
        <v>7.0595492042662437E-3</v>
      </c>
    </row>
    <row r="70" spans="1:20" x14ac:dyDescent="0.2">
      <c r="A70">
        <f>'with k '!AB9</f>
        <v>6.0206076260990615E-2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f t="shared" si="0"/>
        <v>7.0607514278784788E-3</v>
      </c>
    </row>
    <row r="71" spans="1:20" x14ac:dyDescent="0.2">
      <c r="A71">
        <f>'with k '!AB10</f>
        <v>6.0216327251146784E-2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f t="shared" si="0"/>
        <v>7.0619536270231063E-3</v>
      </c>
    </row>
    <row r="72" spans="1:20" x14ac:dyDescent="0.2">
      <c r="A72">
        <f>'with k '!AB11</f>
        <v>6.0226578032674061E-2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f t="shared" si="0"/>
        <v>7.0631558017004905E-3</v>
      </c>
    </row>
    <row r="73" spans="1:20" x14ac:dyDescent="0.2">
      <c r="A73">
        <f>'with k '!AB12</f>
        <v>6.0236828605576109E-2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f t="shared" si="0"/>
        <v>7.0643579519110598E-3</v>
      </c>
    </row>
    <row r="74" spans="1:20" x14ac:dyDescent="0.2">
      <c r="A74">
        <f>'with k '!AB13</f>
        <v>6.0247078969856482E-2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f t="shared" si="0"/>
        <v>7.0655600776552314E-3</v>
      </c>
    </row>
    <row r="75" spans="1:20" x14ac:dyDescent="0.2">
      <c r="A75">
        <f>'with k '!AB14</f>
        <v>6.0257329125518733E-2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f t="shared" si="0"/>
        <v>7.0667621789334226E-3</v>
      </c>
    </row>
    <row r="76" spans="1:20" x14ac:dyDescent="0.2">
      <c r="A76">
        <f>'with k '!AB15</f>
        <v>6.0267579072566191E-2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f t="shared" si="0"/>
        <v>7.0679642557460237E-3</v>
      </c>
    </row>
    <row r="77" spans="1:20" x14ac:dyDescent="0.2">
      <c r="A77">
        <f>'with k '!AB16</f>
        <v>6.0277828811002521E-2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f t="shared" si="0"/>
        <v>7.0691663080934639E-3</v>
      </c>
    </row>
    <row r="78" spans="1:20" x14ac:dyDescent="0.2">
      <c r="A78">
        <f>'with k '!AB17</f>
        <v>6.0288078340831275E-2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f t="shared" si="0"/>
        <v>7.0703683359761606E-3</v>
      </c>
    </row>
    <row r="79" spans="1:20" x14ac:dyDescent="0.2">
      <c r="A79">
        <f>'with k '!AB18</f>
        <v>6.0298327662055784E-2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f t="shared" si="0"/>
        <v>7.0715703393945039E-3</v>
      </c>
    </row>
    <row r="80" spans="1:20" x14ac:dyDescent="0.2">
      <c r="A80">
        <f>'with k '!AB19</f>
        <v>6.0308576774679823E-2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f t="shared" si="0"/>
        <v>7.0727723183489364E-3</v>
      </c>
    </row>
    <row r="81" spans="1:20" x14ac:dyDescent="0.2">
      <c r="A81">
        <f>'with k '!AB20</f>
        <v>6.0318825678706722E-2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f t="shared" si="0"/>
        <v>7.073974272839849E-3</v>
      </c>
    </row>
    <row r="82" spans="1:20" x14ac:dyDescent="0.2">
      <c r="A82">
        <f>'with k '!AB21</f>
        <v>6.0329074374139924E-2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f t="shared" si="0"/>
        <v>7.0751762028676453E-3</v>
      </c>
    </row>
    <row r="83" spans="1:20" x14ac:dyDescent="0.2">
      <c r="A83">
        <f>'with k '!AB22</f>
        <v>6.033932286098298E-2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f t="shared" si="0"/>
        <v>7.0763781084327414E-3</v>
      </c>
    </row>
    <row r="84" spans="1:20" x14ac:dyDescent="0.2">
      <c r="A84">
        <f>'with k '!AB23</f>
        <v>6.0349571139239666E-2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f t="shared" si="0"/>
        <v>7.0775799895355807E-3</v>
      </c>
    </row>
    <row r="85" spans="1:20" x14ac:dyDescent="0.2">
      <c r="A85">
        <f>'with k '!AB24</f>
        <v>6.035981920891309E-2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f t="shared" si="0"/>
        <v>7.0787818461765274E-3</v>
      </c>
    </row>
    <row r="86" spans="1:20" x14ac:dyDescent="0.2">
      <c r="A86">
        <f>'with k '!AB25</f>
        <v>6.0370067070007027E-2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f t="shared" si="0"/>
        <v>7.0799836783560248E-3</v>
      </c>
    </row>
    <row r="87" spans="1:20" x14ac:dyDescent="0.2">
      <c r="A87">
        <f>'with k '!AB26</f>
        <v>6.038031472252503E-2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f t="shared" si="0"/>
        <v>7.0811854860744891E-3</v>
      </c>
    </row>
    <row r="88" spans="1:20" x14ac:dyDescent="0.2">
      <c r="A88">
        <f>'with k '!AB27</f>
        <v>6.0390562166470318E-2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f>$E$1*(1-$H$1)*A88+$E$1*$H$1*A87</f>
        <v>7.0823872693322977E-3</v>
      </c>
    </row>
    <row r="90" spans="1:20" x14ac:dyDescent="0.2">
      <c r="A90" s="4" t="s">
        <v>26</v>
      </c>
      <c r="B90">
        <f t="array" ref="B90:T108">MINVERSE(B3:T21)</f>
        <v>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">
      <c r="B91">
        <v>0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"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"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">
      <c r="B94">
        <v>0</v>
      </c>
      <c r="C94">
        <v>0</v>
      </c>
      <c r="D94">
        <v>0</v>
      </c>
      <c r="E94">
        <v>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">
      <c r="B95">
        <v>0</v>
      </c>
      <c r="C95">
        <v>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2:20" x14ac:dyDescent="0.2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2:20" x14ac:dyDescent="0.2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2:20" x14ac:dyDescent="0.2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2:20" x14ac:dyDescent="0.2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2:20" x14ac:dyDescent="0.2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2:20" x14ac:dyDescent="0.2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2:20" x14ac:dyDescent="0.2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2:20" x14ac:dyDescent="0.2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0</v>
      </c>
    </row>
    <row r="105" spans="2:20" x14ac:dyDescent="0.2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1</v>
      </c>
      <c r="R105">
        <v>0</v>
      </c>
      <c r="S105">
        <v>0</v>
      </c>
      <c r="T105">
        <v>0</v>
      </c>
    </row>
    <row r="106" spans="2:20" x14ac:dyDescent="0.2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</row>
    <row r="107" spans="2:20" x14ac:dyDescent="0.2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1</v>
      </c>
      <c r="T107">
        <v>0</v>
      </c>
    </row>
    <row r="108" spans="2:20" x14ac:dyDescent="0.2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8923-D8D2-8748-8B5D-F66A86D2AFF9}">
  <sheetPr codeName="Sheet4"/>
  <dimension ref="A1:AI161"/>
  <sheetViews>
    <sheetView workbookViewId="0">
      <selection activeCell="AG23" sqref="AG23"/>
    </sheetView>
  </sheetViews>
  <sheetFormatPr baseColWidth="10" defaultRowHeight="16" x14ac:dyDescent="0.2"/>
  <cols>
    <col min="4" max="4" width="10.5" customWidth="1"/>
    <col min="7" max="7" width="11.1640625" customWidth="1"/>
    <col min="8" max="8" width="13.5" bestFit="1" customWidth="1"/>
    <col min="9" max="9" width="13.1640625" bestFit="1" customWidth="1"/>
    <col min="10" max="11" width="12" bestFit="1" customWidth="1"/>
    <col min="12" max="15" width="13.1640625" bestFit="1" customWidth="1"/>
    <col min="16" max="27" width="11" bestFit="1" customWidth="1"/>
  </cols>
  <sheetData>
    <row r="1" spans="1:35" x14ac:dyDescent="0.2">
      <c r="C1" s="7"/>
    </row>
    <row r="2" spans="1:35" ht="19" x14ac:dyDescent="0.2">
      <c r="A2" s="1"/>
      <c r="G2" t="s">
        <v>20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</row>
    <row r="3" spans="1:35" ht="19" x14ac:dyDescent="0.2">
      <c r="A3" s="1"/>
      <c r="C3" s="2" t="s">
        <v>0</v>
      </c>
      <c r="D3" s="2">
        <v>120</v>
      </c>
      <c r="F3" s="2">
        <v>24</v>
      </c>
      <c r="G3">
        <f t="shared" ref="G3:G25" si="0">G4+$D$19</f>
        <v>9.5890410958904092E-5</v>
      </c>
      <c r="H3">
        <v>0</v>
      </c>
      <c r="I3">
        <f t="array" ref="I3:AA3">TRANSPOSE(MMULT(Sheet1!$B$44:'Sheet1'!$T$62,TRANSPOSE(I4:AA4))+MMULT(Sheet1!$B$90:'Sheet1'!$T$108,TRANSPOSE(Sheet1!B65:'Sheet1'!T65)))</f>
        <v>4.9487510799765994E-6</v>
      </c>
      <c r="J3">
        <v>1.8142535934977614E-5</v>
      </c>
      <c r="K3">
        <v>5.7326942767941852E-5</v>
      </c>
      <c r="L3">
        <v>1.6420367934503292E-4</v>
      </c>
      <c r="M3">
        <v>4.2560662739630258E-4</v>
      </c>
      <c r="N3">
        <v>9.9407410246318221E-4</v>
      </c>
      <c r="O3">
        <v>2.0867685068965839E-3</v>
      </c>
      <c r="P3">
        <v>3.938263217838152E-3</v>
      </c>
      <c r="Q3">
        <v>6.7128715071604513E-3</v>
      </c>
      <c r="R3">
        <v>1.0441643416379841E-2</v>
      </c>
      <c r="S3">
        <v>1.5086493367114803E-2</v>
      </c>
      <c r="T3">
        <v>2.0829317529346716E-2</v>
      </c>
      <c r="U3">
        <v>2.8727944166666311E-2</v>
      </c>
      <c r="V3">
        <v>4.2017028182810078E-2</v>
      </c>
      <c r="W3">
        <v>6.8282451643719821E-2</v>
      </c>
      <c r="X3">
        <v>0.12187030116336292</v>
      </c>
      <c r="Y3">
        <v>0.22381710518272466</v>
      </c>
      <c r="Z3">
        <v>0.39485269110166399</v>
      </c>
      <c r="AA3">
        <v>0.64020470154420628</v>
      </c>
      <c r="AB3">
        <f>EXP(0.5*($D$23+1)*$AB$28+($D$23+1)^2*G3/4)</f>
        <v>0.93553136254382407</v>
      </c>
    </row>
    <row r="4" spans="1:35" x14ac:dyDescent="0.2">
      <c r="C4" s="2" t="s">
        <v>1</v>
      </c>
      <c r="D4" s="2">
        <v>0.02</v>
      </c>
      <c r="F4" s="2">
        <v>23</v>
      </c>
      <c r="G4">
        <f t="shared" si="0"/>
        <v>9.1894977168949758E-5</v>
      </c>
      <c r="H4">
        <v>0</v>
      </c>
      <c r="I4">
        <f t="array" ref="I4:AA4">TRANSPOSE(MMULT(Sheet1!$B$44:'Sheet1'!$T$62,TRANSPOSE(I5:AA5))+MMULT(Sheet1!$B$90:'Sheet1'!$T$108,TRANSPOSE(Sheet1!B66:'Sheet1'!T66)))</f>
        <v>4.0450682000855947E-6</v>
      </c>
      <c r="J4">
        <v>1.5256266985826448E-5</v>
      </c>
      <c r="K4">
        <v>4.9698496825096381E-5</v>
      </c>
      <c r="L4">
        <v>1.4654185875049021E-4</v>
      </c>
      <c r="M4">
        <v>3.9005893911978138E-4</v>
      </c>
      <c r="N4">
        <v>9.3273219097529864E-4</v>
      </c>
      <c r="O4">
        <v>1.9972869450548816E-3</v>
      </c>
      <c r="P4">
        <v>3.8290358398809735E-3</v>
      </c>
      <c r="Q4">
        <v>6.6004054316367135E-3</v>
      </c>
      <c r="R4">
        <v>1.0335577554526102E-2</v>
      </c>
      <c r="S4">
        <v>1.4963490267367454E-2</v>
      </c>
      <c r="T4">
        <v>2.0591090491935134E-2</v>
      </c>
      <c r="U4">
        <v>2.8125547953581471E-2</v>
      </c>
      <c r="V4">
        <v>4.0542650754938403E-2</v>
      </c>
      <c r="W4">
        <v>6.5127049535216072E-2</v>
      </c>
      <c r="X4">
        <v>0.11620039967717979</v>
      </c>
      <c r="Y4">
        <v>0.21560776766274214</v>
      </c>
      <c r="Z4">
        <v>0.38592618402990297</v>
      </c>
      <c r="AA4">
        <v>0.63415842246867282</v>
      </c>
      <c r="AB4">
        <f t="shared" ref="AB4:AB25" si="1">EXP(0.5*($D$23+1)*$AB$28+($D$23+1)^2*G4/4)</f>
        <v>0.93552762469767381</v>
      </c>
    </row>
    <row r="5" spans="1:35" x14ac:dyDescent="0.2">
      <c r="B5" t="s">
        <v>6</v>
      </c>
      <c r="C5" s="2" t="s">
        <v>2</v>
      </c>
      <c r="D5" s="2">
        <v>5.0000000000000001E-3</v>
      </c>
      <c r="F5" s="2">
        <v>22</v>
      </c>
      <c r="G5">
        <f t="shared" si="0"/>
        <v>8.7899543378995424E-5</v>
      </c>
      <c r="H5">
        <v>0</v>
      </c>
      <c r="I5">
        <f t="array" ref="I5:AA5">TRANSPOSE(MMULT(Sheet1!$B$44:'Sheet1'!$T$62,TRANSPOSE(I6:AA6))+MMULT(Sheet1!$B$90:'Sheet1'!$T$108,TRANSPOSE(Sheet1!B67:'Sheet1'!T67)))</f>
        <v>3.263644357560025E-6</v>
      </c>
      <c r="J5">
        <v>1.2687349806314868E-5</v>
      </c>
      <c r="K5">
        <v>4.2689645655475594E-5</v>
      </c>
      <c r="L5">
        <v>1.298178689192914E-4</v>
      </c>
      <c r="M5">
        <v>3.5547879049242716E-4</v>
      </c>
      <c r="N5">
        <v>8.7170407858174544E-4</v>
      </c>
      <c r="O5">
        <v>1.9068048508275746E-3</v>
      </c>
      <c r="P5">
        <v>3.7177687393192089E-3</v>
      </c>
      <c r="Q5">
        <v>6.4866310859419286E-3</v>
      </c>
      <c r="R5">
        <v>1.0231967939480656E-2</v>
      </c>
      <c r="S5">
        <v>1.4851494663235839E-2</v>
      </c>
      <c r="T5">
        <v>2.0381276733930077E-2</v>
      </c>
      <c r="U5">
        <v>2.7582308867905105E-2</v>
      </c>
      <c r="V5">
        <v>3.9164948668172654E-2</v>
      </c>
      <c r="W5">
        <v>6.2075252692549175E-2</v>
      </c>
      <c r="X5">
        <v>0.11054112648572259</v>
      </c>
      <c r="Y5">
        <v>0.20718470270386613</v>
      </c>
      <c r="Z5">
        <v>0.37656191098138309</v>
      </c>
      <c r="AA5">
        <v>0.62772108680591088</v>
      </c>
      <c r="AB5">
        <f t="shared" si="1"/>
        <v>0.93552388686645771</v>
      </c>
    </row>
    <row r="6" spans="1:35" x14ac:dyDescent="0.2">
      <c r="C6" s="2" t="s">
        <v>3</v>
      </c>
      <c r="D6" s="2">
        <v>119</v>
      </c>
      <c r="F6" s="2">
        <v>21</v>
      </c>
      <c r="G6">
        <f t="shared" si="0"/>
        <v>8.3904109589041091E-5</v>
      </c>
      <c r="H6">
        <v>0</v>
      </c>
      <c r="I6">
        <f t="array" ref="I6:AA6">TRANSPOSE(MMULT(Sheet1!$B$44:'Sheet1'!$T$62,TRANSPOSE(I7:AA7))+MMULT(Sheet1!$B$90:'Sheet1'!$T$108,TRANSPOSE(Sheet1!B68:'Sheet1'!T68)))</f>
        <v>2.5956948216176782E-6</v>
      </c>
      <c r="J6">
        <v>1.0422359977012079E-5</v>
      </c>
      <c r="K6">
        <v>3.629696104050303E-5</v>
      </c>
      <c r="L6">
        <v>1.1406475577660875E-4</v>
      </c>
      <c r="M6">
        <v>3.2194919948719676E-4</v>
      </c>
      <c r="N6">
        <v>8.1107388804073062E-4</v>
      </c>
      <c r="O6">
        <v>1.8152940267544538E-3</v>
      </c>
      <c r="P6">
        <v>3.6042519878416936E-3</v>
      </c>
      <c r="Q6">
        <v>6.3711955864680196E-3</v>
      </c>
      <c r="R6">
        <v>1.0130270585224106E-2</v>
      </c>
      <c r="S6">
        <v>1.4749474993645364E-2</v>
      </c>
      <c r="T6">
        <v>2.0198240013874855E-2</v>
      </c>
      <c r="U6">
        <v>2.7097213880337347E-2</v>
      </c>
      <c r="V6">
        <v>3.7887259302725587E-2</v>
      </c>
      <c r="W6">
        <v>5.9139010700396691E-2</v>
      </c>
      <c r="X6">
        <v>0.10490907217221904</v>
      </c>
      <c r="Y6">
        <v>0.19854896807641109</v>
      </c>
      <c r="Z6">
        <v>0.36672672359204039</v>
      </c>
      <c r="AA6">
        <v>0.62084914747250153</v>
      </c>
      <c r="AB6">
        <f t="shared" si="1"/>
        <v>0.935520149050176</v>
      </c>
    </row>
    <row r="7" spans="1:35" x14ac:dyDescent="0.2">
      <c r="C7" s="2" t="s">
        <v>4</v>
      </c>
      <c r="D7" s="2">
        <v>0.1</v>
      </c>
      <c r="F7" s="2">
        <v>20</v>
      </c>
      <c r="G7">
        <f t="shared" si="0"/>
        <v>7.9908675799086757E-5</v>
      </c>
      <c r="H7">
        <v>0</v>
      </c>
      <c r="I7">
        <f t="array" ref="I7:AA7">TRANSPOSE(MMULT(Sheet1!$B$44:'Sheet1'!$T$62,TRANSPOSE(I8:AA8))+MMULT(Sheet1!$B$90:'Sheet1'!$T$108,TRANSPOSE(Sheet1!B69:'Sheet1'!T69)))</f>
        <v>2.0319969462182943E-6</v>
      </c>
      <c r="J7">
        <v>8.4461752525301919E-6</v>
      </c>
      <c r="K7">
        <v>3.0513739512379282E-5</v>
      </c>
      <c r="L7">
        <v>9.9313611907156729E-5</v>
      </c>
      <c r="M7">
        <v>2.8955886857917943E-4</v>
      </c>
      <c r="N7">
        <v>7.509398570124218E-4</v>
      </c>
      <c r="O7">
        <v>1.722734958949292E-3</v>
      </c>
      <c r="P7">
        <v>3.488269643317176E-3</v>
      </c>
      <c r="Q7">
        <v>6.2537503453521624E-3</v>
      </c>
      <c r="R7">
        <v>1.002997914679429E-2</v>
      </c>
      <c r="S7">
        <v>1.4656421708729902E-2</v>
      </c>
      <c r="T7">
        <v>2.0040209309107371E-2</v>
      </c>
      <c r="U7">
        <v>2.6668801125244949E-2</v>
      </c>
      <c r="V7">
        <v>3.6712357086539131E-2</v>
      </c>
      <c r="W7">
        <v>5.6330672921676997E-2</v>
      </c>
      <c r="X7">
        <v>9.9323314530070025E-2</v>
      </c>
      <c r="Y7">
        <v>0.18970412760354244</v>
      </c>
      <c r="Z7">
        <v>0.35638460748614148</v>
      </c>
      <c r="AA7">
        <v>0.61349208066963024</v>
      </c>
      <c r="AB7">
        <f t="shared" si="1"/>
        <v>0.93551641124882834</v>
      </c>
    </row>
    <row r="8" spans="1:35" x14ac:dyDescent="0.2">
      <c r="C8" s="2" t="s">
        <v>5</v>
      </c>
      <c r="D8" s="2">
        <v>7</v>
      </c>
      <c r="F8" s="2">
        <v>19</v>
      </c>
      <c r="G8">
        <f t="shared" si="0"/>
        <v>7.5913242009132423E-5</v>
      </c>
      <c r="H8">
        <v>0</v>
      </c>
      <c r="I8">
        <f t="array" ref="I8:AA8">TRANSPOSE(MMULT(Sheet1!$B$44:'Sheet1'!$T$62,TRANSPOSE(I9:AA9))+MMULT(Sheet1!$B$90:'Sheet1'!$T$108,TRANSPOSE(Sheet1!B70:'Sheet1'!T70)))</f>
        <v>1.5629955606232668E-6</v>
      </c>
      <c r="J8">
        <v>6.7420330313151785E-6</v>
      </c>
      <c r="K8">
        <v>2.5329666853906389E-5</v>
      </c>
      <c r="L8">
        <v>8.5592770950591835E-5</v>
      </c>
      <c r="M8">
        <v>2.5840201573271772E-4</v>
      </c>
      <c r="N8">
        <v>6.9141610282341952E-4</v>
      </c>
      <c r="O8">
        <v>1.6291181432794058E-3</v>
      </c>
      <c r="P8">
        <v>3.3695965532122901E-3</v>
      </c>
      <c r="Q8">
        <v>6.1339478508630335E-3</v>
      </c>
      <c r="R8">
        <v>9.9306305125729279E-3</v>
      </c>
      <c r="S8">
        <v>1.457136425499022E-2</v>
      </c>
      <c r="T8">
        <v>1.9905299858605108E-2</v>
      </c>
      <c r="U8">
        <v>2.6295140667612286E-2</v>
      </c>
      <c r="V8">
        <v>3.564232210319699E-2</v>
      </c>
      <c r="W8">
        <v>5.3662831978785498E-2</v>
      </c>
      <c r="X8">
        <v>9.3805656743394888E-2</v>
      </c>
      <c r="Y8">
        <v>0.1806569593527923</v>
      </c>
      <c r="Z8">
        <v>0.34549656498585452</v>
      </c>
      <c r="AA8">
        <v>0.6055909206284974</v>
      </c>
      <c r="AB8">
        <f t="shared" si="1"/>
        <v>0.93551267346241485</v>
      </c>
    </row>
    <row r="9" spans="1:35" x14ac:dyDescent="0.2">
      <c r="F9" s="2">
        <v>18</v>
      </c>
      <c r="G9">
        <f t="shared" si="0"/>
        <v>7.1917808219178089E-5</v>
      </c>
      <c r="H9">
        <v>0</v>
      </c>
      <c r="I9">
        <f t="array" ref="I9:AA9">TRANSPOSE(MMULT(Sheet1!$B$44:'Sheet1'!$T$62,TRANSPOSE(I10:AA10))+MMULT(Sheet1!$B$90:'Sheet1'!$T$108,TRANSPOSE(Sheet1!B71:'Sheet1'!T71)))</f>
        <v>1.1789258326667172E-6</v>
      </c>
      <c r="J9">
        <v>5.2916314186051615E-6</v>
      </c>
      <c r="K9">
        <v>2.0730498984200733E-5</v>
      </c>
      <c r="L9">
        <v>7.2926866003909804E-5</v>
      </c>
      <c r="M9">
        <v>2.2857802281237997E-4</v>
      </c>
      <c r="N9">
        <v>6.3263467730511475E-4</v>
      </c>
      <c r="O9">
        <v>1.534445972151839E-3</v>
      </c>
      <c r="P9">
        <v>3.2479945970677968E-3</v>
      </c>
      <c r="Q9">
        <v>6.0114373319863452E-3</v>
      </c>
      <c r="R9">
        <v>9.8318100846133388E-3</v>
      </c>
      <c r="S9">
        <v>1.4493388710456459E-2</v>
      </c>
      <c r="T9">
        <v>1.9791539403173092E-2</v>
      </c>
      <c r="U9">
        <v>2.5973825047748218E-2</v>
      </c>
      <c r="V9">
        <v>3.4678400077079181E-2</v>
      </c>
      <c r="W9">
        <v>5.1148113197024704E-2</v>
      </c>
      <c r="X9">
        <v>8.8380848008939014E-2</v>
      </c>
      <c r="Y9">
        <v>0.17141833156505867</v>
      </c>
      <c r="Z9">
        <v>0.33402058129041257</v>
      </c>
      <c r="AA9">
        <v>0.59707641505393017</v>
      </c>
      <c r="AB9">
        <f t="shared" si="1"/>
        <v>0.93550893569093529</v>
      </c>
    </row>
    <row r="10" spans="1:35" x14ac:dyDescent="0.2">
      <c r="C10" s="2" t="s">
        <v>7</v>
      </c>
      <c r="D10" s="2">
        <v>20</v>
      </c>
      <c r="F10" s="2">
        <v>17</v>
      </c>
      <c r="G10">
        <f t="shared" si="0"/>
        <v>6.7922374429223755E-5</v>
      </c>
      <c r="H10">
        <v>0</v>
      </c>
      <c r="I10">
        <f t="array" ref="I10:AA10">TRANSPOSE(MMULT(Sheet1!$B$44:'Sheet1'!$T$62,TRANSPOSE(I11:AA11))+MMULT(Sheet1!$B$90:'Sheet1'!$T$108,TRANSPOSE(Sheet1!B72:'Sheet1'!T72)))</f>
        <v>8.6995205302961763E-7</v>
      </c>
      <c r="J10">
        <v>4.0752799460660699E-6</v>
      </c>
      <c r="K10">
        <v>1.6697776159025292E-5</v>
      </c>
      <c r="L10">
        <v>6.1335741470001996E-5</v>
      </c>
      <c r="M10">
        <v>2.0019083187756485E-4</v>
      </c>
      <c r="N10">
        <v>5.7474793064014645E-4</v>
      </c>
      <c r="O10">
        <v>1.4387353706503089E-3</v>
      </c>
      <c r="P10">
        <v>3.1232082919578738E-3</v>
      </c>
      <c r="Q10">
        <v>5.8858591303027948E-3</v>
      </c>
      <c r="R10">
        <v>9.7331567687906767E-3</v>
      </c>
      <c r="S10">
        <v>1.4421655602626591E-2</v>
      </c>
      <c r="T10">
        <v>1.9696899463968156E-2</v>
      </c>
      <c r="U10">
        <v>2.5701972398472779E-2</v>
      </c>
      <c r="V10">
        <v>3.3820857785599893E-2</v>
      </c>
      <c r="W10">
        <v>4.8798900279356003E-2</v>
      </c>
      <c r="X10">
        <v>8.3076765246998113E-2</v>
      </c>
      <c r="Y10">
        <v>0.16200427985051497</v>
      </c>
      <c r="Z10">
        <v>0.32191172986226935</v>
      </c>
      <c r="AA10">
        <v>0.58786668568794787</v>
      </c>
      <c r="AB10">
        <f t="shared" si="1"/>
        <v>0.93550519793438991</v>
      </c>
    </row>
    <row r="11" spans="1:35" x14ac:dyDescent="0.2">
      <c r="C11" s="2" t="s">
        <v>8</v>
      </c>
      <c r="D11" s="2">
        <v>24</v>
      </c>
      <c r="F11" s="2">
        <v>16</v>
      </c>
      <c r="G11">
        <f t="shared" si="0"/>
        <v>6.3926940639269422E-5</v>
      </c>
      <c r="H11">
        <v>0</v>
      </c>
      <c r="I11">
        <f t="array" ref="I11:AA11">TRANSPOSE(MMULT(Sheet1!$B$44:'Sheet1'!$T$62,TRANSPOSE(I12:AA12))+MMULT(Sheet1!$B$90:'Sheet1'!$T$108,TRANSPOSE(Sheet1!B73:'Sheet1'!T73)))</f>
        <v>6.2631961560015666E-7</v>
      </c>
      <c r="J11">
        <v>3.0721053389255024E-6</v>
      </c>
      <c r="K11">
        <v>1.3208592214159024E-5</v>
      </c>
      <c r="L11">
        <v>5.0833212920606465E-5</v>
      </c>
      <c r="M11">
        <v>1.7334800078877341E-4</v>
      </c>
      <c r="N11">
        <v>5.1793118961322964E-4</v>
      </c>
      <c r="O11">
        <v>1.342021430924506E-3</v>
      </c>
      <c r="P11">
        <v>2.9949596620593329E-3</v>
      </c>
      <c r="Q11">
        <v>5.7568375573118025E-3</v>
      </c>
      <c r="R11">
        <v>9.6343677968263354E-3</v>
      </c>
      <c r="S11">
        <v>1.4355417352848352E-2</v>
      </c>
      <c r="T11">
        <v>1.9619331146972695E-2</v>
      </c>
      <c r="U11">
        <v>2.5476245047283373E-2</v>
      </c>
      <c r="V11">
        <v>3.306883992600837E-2</v>
      </c>
      <c r="W11">
        <v>4.6626987664646367E-2</v>
      </c>
      <c r="X11">
        <v>7.792452549737465E-2</v>
      </c>
      <c r="Y11">
        <v>0.1524373222522519</v>
      </c>
      <c r="Z11">
        <v>0.30912250092094645</v>
      </c>
      <c r="AA11">
        <v>0.5778642384281989</v>
      </c>
      <c r="AB11">
        <f t="shared" si="1"/>
        <v>0.93550146019277836</v>
      </c>
    </row>
    <row r="12" spans="1:35" x14ac:dyDescent="0.2">
      <c r="A12" s="3" t="s">
        <v>29</v>
      </c>
      <c r="C12" s="3" t="s">
        <v>27</v>
      </c>
      <c r="D12" s="3" t="s">
        <v>28</v>
      </c>
      <c r="F12" s="2">
        <v>15</v>
      </c>
      <c r="G12">
        <f t="shared" si="0"/>
        <v>5.9931506849315088E-5</v>
      </c>
      <c r="H12">
        <v>0</v>
      </c>
      <c r="I12">
        <f t="array" ref="I12:AA12">TRANSPOSE(MMULT(Sheet1!$B$44:'Sheet1'!$T$62,TRANSPOSE(I13:AA13))+MMULT(Sheet1!$B$90:'Sheet1'!$T$108,TRANSPOSE(Sheet1!B74:'Sheet1'!T74)))</f>
        <v>4.3851611872909297E-7</v>
      </c>
      <c r="J12">
        <v>2.2603163667845635E-6</v>
      </c>
      <c r="K12">
        <v>1.0235445879177177E-5</v>
      </c>
      <c r="L12">
        <v>4.1425678123035966E-5</v>
      </c>
      <c r="M12">
        <v>1.4815930703639317E-4</v>
      </c>
      <c r="N12">
        <v>4.6238573183230987E-4</v>
      </c>
      <c r="O12">
        <v>1.2443623759115629E-3</v>
      </c>
      <c r="P12">
        <v>2.8629422427592895E-3</v>
      </c>
      <c r="Q12">
        <v>5.623971945698923E-3</v>
      </c>
      <c r="R12">
        <v>9.5352036477666258E-3</v>
      </c>
      <c r="S12">
        <v>1.4294034714285406E-2</v>
      </c>
      <c r="T12">
        <v>1.9556804522857758E-2</v>
      </c>
      <c r="U12">
        <v>2.5292886426787294E-2</v>
      </c>
      <c r="V12">
        <v>3.2420235865207245E-2</v>
      </c>
      <c r="W12">
        <v>4.4643151347744006E-2</v>
      </c>
      <c r="X12">
        <v>7.2958486793448005E-2</v>
      </c>
      <c r="Y12">
        <v>0.14274804940856317</v>
      </c>
      <c r="Z12">
        <v>0.29560347867286108</v>
      </c>
      <c r="AA12">
        <v>0.56695211218148511</v>
      </c>
      <c r="AB12">
        <f t="shared" si="1"/>
        <v>0.93549772246610063</v>
      </c>
      <c r="AD12" s="9" t="s">
        <v>39</v>
      </c>
    </row>
    <row r="13" spans="1:35" x14ac:dyDescent="0.2">
      <c r="A13" s="3" t="s">
        <v>30</v>
      </c>
      <c r="C13" s="3" t="s">
        <v>9</v>
      </c>
      <c r="D13" s="3">
        <f>IF(D12="Explicit",0,IF(D12="Implicit",1,0.5))</f>
        <v>0.5</v>
      </c>
      <c r="F13" s="2">
        <v>14</v>
      </c>
      <c r="G13">
        <f t="shared" si="0"/>
        <v>5.5936073059360747E-5</v>
      </c>
      <c r="H13">
        <v>0</v>
      </c>
      <c r="I13">
        <f t="array" ref="I13:AA13">TRANSPOSE(MMULT(Sheet1!$B$44:'Sheet1'!$T$62,TRANSPOSE(I14:AA14))+MMULT(Sheet1!$B$90:'Sheet1'!$T$108,TRANSPOSE(Sheet1!B75:'Sheet1'!T75)))</f>
        <v>2.9743604217185603E-7</v>
      </c>
      <c r="J13">
        <v>1.6175295704024627E-6</v>
      </c>
      <c r="K13">
        <v>7.7462066782286357E-6</v>
      </c>
      <c r="L13">
        <v>3.3110595729191949E-5</v>
      </c>
      <c r="M13">
        <v>1.2473476298056251E-4</v>
      </c>
      <c r="N13">
        <v>4.0834199756582454E-4</v>
      </c>
      <c r="O13">
        <v>1.1458462964216403E-3</v>
      </c>
      <c r="P13">
        <v>2.72681404962928E-3</v>
      </c>
      <c r="Q13">
        <v>5.4868254963136472E-3</v>
      </c>
      <c r="R13">
        <v>9.4354935412742005E-3</v>
      </c>
      <c r="S13">
        <v>1.4236991513706321E-2</v>
      </c>
      <c r="T13">
        <v>1.950735011800853E-2</v>
      </c>
      <c r="U13">
        <v>2.5147778723096557E-2</v>
      </c>
      <c r="V13">
        <v>3.1871567477078547E-2</v>
      </c>
      <c r="W13">
        <v>4.2856633054190033E-2</v>
      </c>
      <c r="X13">
        <v>6.8216080317228311E-2</v>
      </c>
      <c r="Y13">
        <v>0.13297702274277437</v>
      </c>
      <c r="Z13">
        <v>0.28130455473786953</v>
      </c>
      <c r="AA13">
        <v>0.55498887881654202</v>
      </c>
      <c r="AB13">
        <f t="shared" si="1"/>
        <v>0.93549398475435674</v>
      </c>
      <c r="AD13" t="s">
        <v>12</v>
      </c>
      <c r="AE13" s="8">
        <v>-0.05</v>
      </c>
      <c r="AF13" s="8">
        <v>-0.04</v>
      </c>
      <c r="AG13" s="8">
        <v>-0.03</v>
      </c>
      <c r="AH13" s="8">
        <v>-0.02</v>
      </c>
      <c r="AI13" s="8">
        <v>-0.01</v>
      </c>
    </row>
    <row r="14" spans="1:35" x14ac:dyDescent="0.2">
      <c r="A14" s="3" t="s">
        <v>28</v>
      </c>
      <c r="C14" s="4" t="s">
        <v>12</v>
      </c>
      <c r="D14" s="4">
        <v>-0.05</v>
      </c>
      <c r="F14" s="2">
        <v>13</v>
      </c>
      <c r="G14">
        <f t="shared" si="0"/>
        <v>5.1940639269406407E-5</v>
      </c>
      <c r="H14">
        <v>0</v>
      </c>
      <c r="I14">
        <f t="array" ref="I14:AA14">TRANSPOSE(MMULT(Sheet1!$B$44:'Sheet1'!$T$62,TRANSPOSE(I15:AA15))+MMULT(Sheet1!$B$90:'Sheet1'!$T$108,TRANSPOSE(Sheet1!B76:'Sheet1'!T76)))</f>
        <v>1.945419653719899E-7</v>
      </c>
      <c r="J14">
        <v>1.1211543083959919E-6</v>
      </c>
      <c r="K14">
        <v>5.7042330551546383E-6</v>
      </c>
      <c r="L14">
        <v>2.5874867871955189E-5</v>
      </c>
      <c r="M14">
        <v>1.0318187789392603E-4</v>
      </c>
      <c r="N14">
        <v>3.5606291600585426E-4</v>
      </c>
      <c r="O14">
        <v>1.0466002615822959E-3</v>
      </c>
      <c r="P14">
        <v>2.5861892917894702E-3</v>
      </c>
      <c r="Q14">
        <v>5.3449113611713844E-3</v>
      </c>
      <c r="R14">
        <v>9.3351422580566796E-3</v>
      </c>
      <c r="S14">
        <v>1.4183906974515031E-2</v>
      </c>
      <c r="T14">
        <v>1.9469100488274074E-2</v>
      </c>
      <c r="U14">
        <v>2.5036522881407491E-2</v>
      </c>
      <c r="V14">
        <v>3.1417912274926144E-2</v>
      </c>
      <c r="W14">
        <v>4.1274538437662184E-2</v>
      </c>
      <c r="X14">
        <v>6.3737398252008859E-2</v>
      </c>
      <c r="Y14">
        <v>0.12317700018399894</v>
      </c>
      <c r="Z14">
        <v>0.26617695691200388</v>
      </c>
      <c r="AA14">
        <v>0.54180209915547062</v>
      </c>
      <c r="AB14">
        <f>EXP(0.5*($D$23+1)*$AB$28+($D$23+1)^2*G14/4)</f>
        <v>0.93549024705754669</v>
      </c>
      <c r="AD14" t="s">
        <v>38</v>
      </c>
      <c r="AE14" s="9">
        <v>1.2585934243491546</v>
      </c>
      <c r="AF14" s="9">
        <v>1.296590043326761</v>
      </c>
      <c r="AG14" s="9">
        <v>1.7461348704598307</v>
      </c>
      <c r="AH14" s="9">
        <v>5.1439904919917669</v>
      </c>
      <c r="AI14" s="9">
        <v>-1953653795565.4573</v>
      </c>
    </row>
    <row r="15" spans="1:35" x14ac:dyDescent="0.2">
      <c r="C15" s="4" t="s">
        <v>10</v>
      </c>
      <c r="D15" s="4">
        <f>LN(D3/D6)</f>
        <v>8.3682496705165792E-3</v>
      </c>
      <c r="F15" s="2">
        <v>12</v>
      </c>
      <c r="G15">
        <f t="shared" si="0"/>
        <v>4.7945205479452066E-5</v>
      </c>
      <c r="H15">
        <v>0</v>
      </c>
      <c r="I15">
        <f t="array" ref="I15:AA15">TRANSPOSE(MMULT(Sheet1!$B$44:'Sheet1'!$T$62,TRANSPOSE(I16:AA16))+MMULT(Sheet1!$B$90:'Sheet1'!$T$108,TRANSPOSE(Sheet1!B77:'Sheet1'!T77)))</f>
        <v>1.2201393885677939E-7</v>
      </c>
      <c r="J15">
        <v>7.4883092353113199E-7</v>
      </c>
      <c r="K15">
        <v>4.0686841974609111E-6</v>
      </c>
      <c r="L15">
        <v>1.9693190965925279E-5</v>
      </c>
      <c r="M15">
        <v>8.3601974998518162E-5</v>
      </c>
      <c r="N15">
        <v>3.0584711964263411E-4</v>
      </c>
      <c r="O15">
        <v>9.4680261870848056E-4</v>
      </c>
      <c r="P15">
        <v>2.4406285469301117E-3</v>
      </c>
      <c r="Q15">
        <v>5.1976751613912646E-3</v>
      </c>
      <c r="R15">
        <v>9.2341394305758238E-3</v>
      </c>
      <c r="S15">
        <v>1.4134544887557858E-2</v>
      </c>
      <c r="T15">
        <v>1.9440329278923685E-2</v>
      </c>
      <c r="U15">
        <v>2.4954541243550274E-2</v>
      </c>
      <c r="V15">
        <v>3.1052878972067249E-2</v>
      </c>
      <c r="W15">
        <v>3.9901159529943143E-2</v>
      </c>
      <c r="X15">
        <v>5.9564440308539655E-2</v>
      </c>
      <c r="Y15">
        <v>0.11341547944643493</v>
      </c>
      <c r="Z15">
        <v>0.25017650846821721</v>
      </c>
      <c r="AA15">
        <v>0.52717968884554123</v>
      </c>
      <c r="AB15">
        <f t="shared" si="1"/>
        <v>0.93548650937567024</v>
      </c>
      <c r="AD15" t="s">
        <v>16</v>
      </c>
      <c r="AE15" s="4">
        <v>0.11727639245697463</v>
      </c>
      <c r="AF15" s="4">
        <v>0.17078243247019617</v>
      </c>
      <c r="AG15" s="4">
        <v>0.27140632422143113</v>
      </c>
      <c r="AH15" s="4">
        <v>0.49647668350518792</v>
      </c>
      <c r="AI15" s="4">
        <v>1.1842090898896269</v>
      </c>
    </row>
    <row r="16" spans="1:35" x14ac:dyDescent="0.2">
      <c r="C16" s="4" t="s">
        <v>11</v>
      </c>
      <c r="D16" s="4">
        <f>(D15-D14)/10</f>
        <v>5.8368249670516584E-3</v>
      </c>
      <c r="F16" s="2">
        <v>11</v>
      </c>
      <c r="G16">
        <f t="shared" si="0"/>
        <v>4.3949771689497726E-5</v>
      </c>
      <c r="H16">
        <v>0</v>
      </c>
      <c r="I16">
        <f t="array" ref="I16:AA16">TRANSPOSE(MMULT(Sheet1!$B$44:'Sheet1'!$T$62,TRANSPOSE(I17:AA17))+MMULT(Sheet1!$B$90:'Sheet1'!$T$108,TRANSPOSE(Sheet1!B78:'Sheet1'!T78)))</f>
        <v>7.2877617509015291E-8</v>
      </c>
      <c r="J16">
        <v>4.789097750085442E-7</v>
      </c>
      <c r="K16">
        <v>2.7950681871826055E-6</v>
      </c>
      <c r="L16">
        <v>1.4526477402621127E-5</v>
      </c>
      <c r="M16">
        <v>6.6085350430886066E-5</v>
      </c>
      <c r="N16">
        <v>2.5803165884192349E-4</v>
      </c>
      <c r="O16">
        <v>8.4669959874011957E-4</v>
      </c>
      <c r="P16">
        <v>2.2896270419638029E-3</v>
      </c>
      <c r="Q16">
        <v>5.0444727813600768E-3</v>
      </c>
      <c r="R16">
        <v>9.1325729788350983E-3</v>
      </c>
      <c r="S16">
        <v>1.4088818892157549E-2</v>
      </c>
      <c r="T16">
        <v>1.9419484677016791E-2</v>
      </c>
      <c r="U16">
        <v>2.4897201113519632E-2</v>
      </c>
      <c r="V16">
        <v>3.0768654914922876E-2</v>
      </c>
      <c r="W16">
        <v>3.8737246381000186E-2</v>
      </c>
      <c r="X16">
        <v>5.573989888342059E-2</v>
      </c>
      <c r="Y16">
        <v>0.10377749207097581</v>
      </c>
      <c r="Z16">
        <v>0.23326873537994269</v>
      </c>
      <c r="AA16">
        <v>0.51085843423731114</v>
      </c>
      <c r="AB16">
        <f t="shared" si="1"/>
        <v>0.9354827717087274</v>
      </c>
    </row>
    <row r="17" spans="3:35" x14ac:dyDescent="0.2">
      <c r="C17" s="4" t="s">
        <v>15</v>
      </c>
      <c r="D17" s="4">
        <f>D15+D16*10</f>
        <v>6.6736499341033165E-2</v>
      </c>
      <c r="F17" s="2">
        <v>10</v>
      </c>
      <c r="G17">
        <f t="shared" si="0"/>
        <v>3.9954337899543385E-5</v>
      </c>
      <c r="H17">
        <v>0</v>
      </c>
      <c r="I17">
        <f t="array" ref="I17:AA17">TRANSPOSE(MMULT(Sheet1!$B$44:'Sheet1'!$T$62,TRANSPOSE(I18:AA18))+MMULT(Sheet1!$B$90:'Sheet1'!$T$108,TRANSPOSE(Sheet1!B79:'Sheet1'!T79)))</f>
        <v>4.1101389360380517E-8</v>
      </c>
      <c r="J17">
        <v>2.9095147232932931E-7</v>
      </c>
      <c r="K17">
        <v>1.8360655542192685E-6</v>
      </c>
      <c r="L17">
        <v>1.0320501358004367E-5</v>
      </c>
      <c r="M17">
        <v>5.0705055627038569E-5</v>
      </c>
      <c r="N17">
        <v>2.129935782924554E-4</v>
      </c>
      <c r="O17">
        <v>7.4662776086512051E-4</v>
      </c>
      <c r="P17">
        <v>2.132600601574549E-3</v>
      </c>
      <c r="Q17">
        <v>4.8845417539700288E-3</v>
      </c>
      <c r="R17">
        <v>9.0306491002943249E-3</v>
      </c>
      <c r="S17">
        <v>1.4046793094765135E-2</v>
      </c>
      <c r="T17">
        <v>1.9405213843711612E-2</v>
      </c>
      <c r="U17">
        <v>2.4859954887309774E-2</v>
      </c>
      <c r="V17">
        <v>3.0556145672799243E-2</v>
      </c>
      <c r="W17">
        <v>3.777927415390691E-2</v>
      </c>
      <c r="X17">
        <v>5.2305341859738216E-2</v>
      </c>
      <c r="Y17">
        <v>9.4368479013546863E-2</v>
      </c>
      <c r="Z17">
        <v>0.2154367397225106</v>
      </c>
      <c r="AA17">
        <v>0.49250859447458228</v>
      </c>
      <c r="AB17">
        <f t="shared" si="1"/>
        <v>0.93547903405671817</v>
      </c>
      <c r="AD17" s="9" t="s">
        <v>40</v>
      </c>
    </row>
    <row r="18" spans="3:35" x14ac:dyDescent="0.2">
      <c r="C18" s="4" t="s">
        <v>13</v>
      </c>
      <c r="D18" s="4">
        <f>D7*D7*D8/365/2</f>
        <v>9.5890410958904119E-5</v>
      </c>
      <c r="F18" s="2">
        <v>9</v>
      </c>
      <c r="G18">
        <f t="shared" si="0"/>
        <v>3.5958904109589045E-5</v>
      </c>
      <c r="H18">
        <v>0</v>
      </c>
      <c r="I18">
        <f t="array" ref="I18:AA18">TRANSPOSE(MMULT(Sheet1!$B$44:'Sheet1'!$T$62,TRANSPOSE(I19:AA19))+MMULT(Sheet1!$B$90:'Sheet1'!$T$108,TRANSPOSE(Sheet1!B80:'Sheet1'!T80)))</f>
        <v>2.16533107580057E-8</v>
      </c>
      <c r="J18">
        <v>1.6622022063203851E-7</v>
      </c>
      <c r="K18">
        <v>1.1426562925586523E-6</v>
      </c>
      <c r="L18">
        <v>7.0049853705245158E-6</v>
      </c>
      <c r="M18">
        <v>3.7509112357352463E-5</v>
      </c>
      <c r="N18">
        <v>1.7114933217797807E-4</v>
      </c>
      <c r="O18">
        <v>6.4704439152398982E-4</v>
      </c>
      <c r="P18">
        <v>1.9688687434235705E-3</v>
      </c>
      <c r="Q18">
        <v>4.7169637794102085E-3</v>
      </c>
      <c r="R18">
        <v>8.928722250245217E-3</v>
      </c>
      <c r="S18">
        <v>1.4008677112230208E-2</v>
      </c>
      <c r="T18">
        <v>1.9396374916566594E-2</v>
      </c>
      <c r="U18">
        <v>2.4838489108371827E-2</v>
      </c>
      <c r="V18">
        <v>3.040522516891838E-2</v>
      </c>
      <c r="W18">
        <v>3.7018781145571326E-2</v>
      </c>
      <c r="X18">
        <v>4.9298640767323695E-2</v>
      </c>
      <c r="Y18">
        <v>8.5316901296611278E-2</v>
      </c>
      <c r="Z18">
        <v>0.19669320595185014</v>
      </c>
      <c r="AA18">
        <v>0.47171309154912444</v>
      </c>
      <c r="AB18">
        <f t="shared" si="1"/>
        <v>0.93547529641964244</v>
      </c>
      <c r="AD18" t="s">
        <v>12</v>
      </c>
      <c r="AE18" s="8">
        <v>-0.05</v>
      </c>
      <c r="AF18" s="8">
        <v>-0.04</v>
      </c>
      <c r="AG18" s="8">
        <v>-0.03</v>
      </c>
      <c r="AH18" s="8">
        <v>-0.02</v>
      </c>
      <c r="AI18" s="8">
        <v>-0.01</v>
      </c>
    </row>
    <row r="19" spans="3:35" x14ac:dyDescent="0.2">
      <c r="C19" s="4" t="s">
        <v>14</v>
      </c>
      <c r="D19" s="4">
        <f>D18/D11</f>
        <v>3.995433789954338E-6</v>
      </c>
      <c r="F19" s="2">
        <v>8</v>
      </c>
      <c r="G19">
        <f t="shared" si="0"/>
        <v>3.1963470319634704E-5</v>
      </c>
      <c r="H19">
        <v>0</v>
      </c>
      <c r="I19">
        <f t="array" ref="I19:AA19">TRANSPOSE(MMULT(Sheet1!$B$44:'Sheet1'!$T$62,TRANSPOSE(I20:AA20))+MMULT(Sheet1!$B$90:'Sheet1'!$T$108,TRANSPOSE(Sheet1!B81:'Sheet1'!T81)))</f>
        <v>1.0510522641316112E-8</v>
      </c>
      <c r="J19">
        <v>8.8133552584869225E-8</v>
      </c>
      <c r="K19">
        <v>6.6555641900539795E-7</v>
      </c>
      <c r="L19">
        <v>4.493418981269344E-6</v>
      </c>
      <c r="M19">
        <v>2.6511060163197098E-5</v>
      </c>
      <c r="N19">
        <v>1.3295042750188381E-4</v>
      </c>
      <c r="O19">
        <v>5.4856878399657809E-4</v>
      </c>
      <c r="P19">
        <v>1.7976343271134192E-3</v>
      </c>
      <c r="Q19">
        <v>4.5406147874008729E-3</v>
      </c>
      <c r="R19">
        <v>8.8273400100870557E-3</v>
      </c>
      <c r="S19">
        <v>1.3974814250569935E-2</v>
      </c>
      <c r="T19">
        <v>1.9392033668020874E-2</v>
      </c>
      <c r="U19">
        <v>2.4828871181069304E-2</v>
      </c>
      <c r="V19">
        <v>3.0305108366302576E-2</v>
      </c>
      <c r="W19">
        <v>3.644189061346699E-2</v>
      </c>
      <c r="X19">
        <v>4.6750504922442974E-2</v>
      </c>
      <c r="Y19">
        <v>7.6775940495994094E-2</v>
      </c>
      <c r="Z19">
        <v>0.17709857630576395</v>
      </c>
      <c r="AA19">
        <v>0.44793916591332084</v>
      </c>
      <c r="AB19">
        <f t="shared" si="1"/>
        <v>0.93547155879750021</v>
      </c>
      <c r="AD19" t="s">
        <v>38</v>
      </c>
      <c r="AE19" s="9">
        <v>1.2629209430637063</v>
      </c>
      <c r="AF19" s="9">
        <v>1.3338463233800937</v>
      </c>
      <c r="AG19" s="9">
        <v>1.9211025794729086</v>
      </c>
      <c r="AH19" s="9">
        <v>5.6951718696698137</v>
      </c>
      <c r="AI19" s="9">
        <v>21.911568631016834</v>
      </c>
    </row>
    <row r="20" spans="3:35" x14ac:dyDescent="0.2">
      <c r="C20" s="4" t="s">
        <v>16</v>
      </c>
      <c r="D20" s="4">
        <f>D19/(D16*D16)</f>
        <v>0.11727639245697463</v>
      </c>
      <c r="F20" s="2">
        <v>7</v>
      </c>
      <c r="G20">
        <f t="shared" si="0"/>
        <v>2.7968036529680364E-5</v>
      </c>
      <c r="H20">
        <v>0</v>
      </c>
      <c r="I20">
        <f t="array" ref="I20:AA20">TRANSPOSE(MMULT(Sheet1!$B$44:'Sheet1'!$T$62,TRANSPOSE(I21:AA21))+MMULT(Sheet1!$B$90:'Sheet1'!$T$108,TRANSPOSE(Sheet1!B82:'Sheet1'!T82)))</f>
        <v>4.61724466834256E-9</v>
      </c>
      <c r="J20">
        <v>4.2624356800718747E-8</v>
      </c>
      <c r="K20">
        <v>3.5693319613350759E-7</v>
      </c>
      <c r="L20">
        <v>2.6839796322756244E-6</v>
      </c>
      <c r="M20">
        <v>1.7678938601857108E-5</v>
      </c>
      <c r="N20">
        <v>9.8872792944801249E-5</v>
      </c>
      <c r="O20">
        <v>4.5203845656859563E-4</v>
      </c>
      <c r="P20">
        <v>1.6179591300335572E-3</v>
      </c>
      <c r="Q20">
        <v>4.3540972886914799E-3</v>
      </c>
      <c r="R20">
        <v>8.7273098558306381E-3</v>
      </c>
      <c r="S20">
        <v>1.3945660705434617E-2</v>
      </c>
      <c r="T20">
        <v>1.9391443082171715E-2</v>
      </c>
      <c r="U20">
        <v>2.4827679055265502E-2</v>
      </c>
      <c r="V20">
        <v>3.0244845548446388E-2</v>
      </c>
      <c r="W20">
        <v>3.6029172839224549E-2</v>
      </c>
      <c r="X20">
        <v>4.4680045794447558E-2</v>
      </c>
      <c r="Y20">
        <v>6.8923149624553315E-2</v>
      </c>
      <c r="Z20">
        <v>0.15678843301726472</v>
      </c>
      <c r="AA20">
        <v>0.42049947423386902</v>
      </c>
      <c r="AB20">
        <f t="shared" si="1"/>
        <v>0.93546782119029137</v>
      </c>
      <c r="AD20" t="s">
        <v>16</v>
      </c>
      <c r="AE20" s="4">
        <v>0.11727639245697463</v>
      </c>
      <c r="AF20" s="4">
        <v>0.17078243247019617</v>
      </c>
      <c r="AG20" s="4">
        <v>0.27140632422143113</v>
      </c>
      <c r="AH20" s="4">
        <v>0.49647668350518792</v>
      </c>
      <c r="AI20" s="4">
        <v>1.1842090898896269</v>
      </c>
    </row>
    <row r="21" spans="3:35" x14ac:dyDescent="0.2">
      <c r="C21" s="4" t="s">
        <v>17</v>
      </c>
      <c r="D21" s="4">
        <f>EXP(D14)*D6</f>
        <v>113.19630151558496</v>
      </c>
      <c r="F21" s="2">
        <v>6</v>
      </c>
      <c r="G21">
        <f t="shared" si="0"/>
        <v>2.3972602739726026E-5</v>
      </c>
      <c r="H21">
        <v>0</v>
      </c>
      <c r="I21">
        <f t="array" ref="I21:AA21">TRANSPOSE(MMULT(Sheet1!$B$44:'Sheet1'!$T$62,TRANSPOSE(I22:AA22))+MMULT(Sheet1!$B$90:'Sheet1'!$T$108,TRANSPOSE(Sheet1!B83:'Sheet1'!T83)))</f>
        <v>1.7925123762661105E-9</v>
      </c>
      <c r="J21">
        <v>1.8367380749631461E-8</v>
      </c>
      <c r="K21">
        <v>1.7231245610979053E-7</v>
      </c>
      <c r="L21">
        <v>1.461992293945533E-6</v>
      </c>
      <c r="M21">
        <v>1.0923202434689449E-5</v>
      </c>
      <c r="N21">
        <v>6.939602164602602E-5</v>
      </c>
      <c r="O21">
        <v>3.5858594758472664E-4</v>
      </c>
      <c r="P21">
        <v>1.4287347736348368E-3</v>
      </c>
      <c r="Q21">
        <v>4.1556473071159257E-3</v>
      </c>
      <c r="R21">
        <v>8.6297979509095315E-3</v>
      </c>
      <c r="S21">
        <v>1.3921752066809857E-2</v>
      </c>
      <c r="T21">
        <v>1.9394006137145842E-2</v>
      </c>
      <c r="U21">
        <v>2.4832096962142308E-2</v>
      </c>
      <c r="V21">
        <v>3.021391547346056E-2</v>
      </c>
      <c r="W21">
        <v>3.575604635271528E-2</v>
      </c>
      <c r="X21">
        <v>4.3089457081888348E-2</v>
      </c>
      <c r="Y21">
        <v>6.1956108298929759E-2</v>
      </c>
      <c r="Z21">
        <v>0.13601462563915107</v>
      </c>
      <c r="AA21">
        <v>0.38849829923965862</v>
      </c>
      <c r="AB21">
        <f t="shared" si="1"/>
        <v>0.93546408359801581</v>
      </c>
    </row>
    <row r="22" spans="3:35" x14ac:dyDescent="0.2">
      <c r="C22" s="4" t="s">
        <v>18</v>
      </c>
      <c r="D22" s="4">
        <f>EXP(D17)*D6</f>
        <v>127.21263687239281</v>
      </c>
      <c r="F22" s="2">
        <v>5</v>
      </c>
      <c r="G22">
        <f t="shared" si="0"/>
        <v>1.9977168949771689E-5</v>
      </c>
      <c r="H22">
        <v>0</v>
      </c>
      <c r="I22">
        <f t="array" ref="I22:AA22">TRANSPOSE(MMULT(Sheet1!$B$44:'Sheet1'!$T$62,TRANSPOSE(I23:AA23))+MMULT(Sheet1!$B$90:'Sheet1'!$T$108,TRANSPOSE(Sheet1!B84:'Sheet1'!T84)))</f>
        <v>5.9526881063406013E-10</v>
      </c>
      <c r="J22">
        <v>6.825650827466302E-9</v>
      </c>
      <c r="K22">
        <v>7.2515378342238507E-8</v>
      </c>
      <c r="L22">
        <v>7.0438281999797614E-7</v>
      </c>
      <c r="M22">
        <v>6.0847878100055822E-6</v>
      </c>
      <c r="N22">
        <v>4.4966603158440615E-5</v>
      </c>
      <c r="O22">
        <v>2.6974403281879313E-4</v>
      </c>
      <c r="P22">
        <v>1.2286486407279171E-3</v>
      </c>
      <c r="Q22">
        <v>3.943004543988062E-3</v>
      </c>
      <c r="R22">
        <v>8.5364747284602978E-3</v>
      </c>
      <c r="S22">
        <v>1.3903650533049546E-2</v>
      </c>
      <c r="T22">
        <v>1.9399225062981331E-2</v>
      </c>
      <c r="U22">
        <v>2.4839960683153067E-2</v>
      </c>
      <c r="V22">
        <v>3.0202862837553187E-2</v>
      </c>
      <c r="W22">
        <v>3.5593941298946573E-2</v>
      </c>
      <c r="X22">
        <v>4.195823582255815E-2</v>
      </c>
      <c r="Y22">
        <v>5.6080832437857046E-2</v>
      </c>
      <c r="Z22">
        <v>0.11520693453007348</v>
      </c>
      <c r="AA22">
        <v>0.35075663846498345</v>
      </c>
      <c r="AB22">
        <f t="shared" si="1"/>
        <v>0.93546034602067352</v>
      </c>
    </row>
    <row r="23" spans="3:35" x14ac:dyDescent="0.2">
      <c r="C23" s="4" t="s">
        <v>19</v>
      </c>
      <c r="D23" s="4">
        <f>2*(D5-D4)/D7/D7</f>
        <v>-2.9999999999999996</v>
      </c>
      <c r="F23" s="2">
        <v>4</v>
      </c>
      <c r="G23">
        <f t="shared" si="0"/>
        <v>1.5981735159817352E-5</v>
      </c>
      <c r="H23">
        <v>0</v>
      </c>
      <c r="I23">
        <f t="array" ref="I23:AA23">TRANSPOSE(MMULT(Sheet1!$B$44:'Sheet1'!$T$62,TRANSPOSE(I24:AA24))+MMULT(Sheet1!$B$90:'Sheet1'!$T$108,TRANSPOSE(Sheet1!B85:'Sheet1'!T85)))</f>
        <v>1.6140605854269278E-10</v>
      </c>
      <c r="J23">
        <v>2.0866773924352158E-9</v>
      </c>
      <c r="K23">
        <v>2.5369779400816203E-8</v>
      </c>
      <c r="L23">
        <v>2.8648350950503199E-7</v>
      </c>
      <c r="M23">
        <v>2.9258019407047186E-6</v>
      </c>
      <c r="N23">
        <v>2.5936203924982783E-5</v>
      </c>
      <c r="O23">
        <v>1.8759029289687048E-4</v>
      </c>
      <c r="P23">
        <v>1.0161449501387512E-3</v>
      </c>
      <c r="Q23">
        <v>3.713228997948606E-3</v>
      </c>
      <c r="R23">
        <v>8.4497290198789574E-3</v>
      </c>
      <c r="S23">
        <v>1.3891861364546673E-2</v>
      </c>
      <c r="T23">
        <v>1.9406644287246342E-2</v>
      </c>
      <c r="U23">
        <v>2.4849740668000456E-2</v>
      </c>
      <c r="V23">
        <v>3.0203885287892071E-2</v>
      </c>
      <c r="W23">
        <v>3.5512417008182834E-2</v>
      </c>
      <c r="X23">
        <v>4.1238025956418546E-2</v>
      </c>
      <c r="Y23">
        <v>5.1487597828986049E-2</v>
      </c>
      <c r="Z23">
        <v>9.5065449721126793E-2</v>
      </c>
      <c r="AA23">
        <v>0.30570715512244334</v>
      </c>
      <c r="AB23">
        <f t="shared" si="1"/>
        <v>0.9354566084582645</v>
      </c>
    </row>
    <row r="24" spans="3:35" x14ac:dyDescent="0.2">
      <c r="C24" s="4" t="s">
        <v>31</v>
      </c>
      <c r="D24" s="4">
        <f>2*D5/D7/D7</f>
        <v>0.99999999999999989</v>
      </c>
      <c r="F24" s="2">
        <v>3</v>
      </c>
      <c r="G24">
        <f t="shared" si="0"/>
        <v>1.1986301369863015E-5</v>
      </c>
      <c r="H24">
        <v>0</v>
      </c>
      <c r="I24">
        <f t="array" ref="I24:AA24">TRANSPOSE(MMULT(Sheet1!$B$44:'Sheet1'!$T$62,TRANSPOSE(I25:AA25))+MMULT(Sheet1!$B$90:'Sheet1'!$T$108,TRANSPOSE(Sheet1!B86:'Sheet1'!T86)))</f>
        <v>3.3268338795360851E-11</v>
      </c>
      <c r="J24">
        <v>4.8789755155891346E-10</v>
      </c>
      <c r="K24">
        <v>6.8498567480261303E-9</v>
      </c>
      <c r="L24">
        <v>9.1214959075625758E-8</v>
      </c>
      <c r="M24">
        <v>1.1274326094859265E-6</v>
      </c>
      <c r="N24">
        <v>1.2461472759305143E-5</v>
      </c>
      <c r="O24">
        <v>1.1494626081805425E-4</v>
      </c>
      <c r="P24">
        <v>7.8938223170355905E-4</v>
      </c>
      <c r="Q24">
        <v>3.4624391171156985E-3</v>
      </c>
      <c r="R24">
        <v>8.3729830875616338E-3</v>
      </c>
      <c r="S24">
        <v>1.3886699187888074E-2</v>
      </c>
      <c r="T24">
        <v>1.9415799080109049E-2</v>
      </c>
      <c r="U24">
        <v>2.4860462143307043E-2</v>
      </c>
      <c r="V24">
        <v>3.0211235816101432E-2</v>
      </c>
      <c r="W24">
        <v>3.5482268460815904E-2</v>
      </c>
      <c r="X24">
        <v>4.0850369081667975E-2</v>
      </c>
      <c r="Y24">
        <v>4.8305502676494069E-2</v>
      </c>
      <c r="Z24">
        <v>7.6698949652620904E-2</v>
      </c>
      <c r="AA24">
        <v>0.25124588692973482</v>
      </c>
      <c r="AB24">
        <f t="shared" si="1"/>
        <v>0.93545287091078855</v>
      </c>
    </row>
    <row r="25" spans="3:35" x14ac:dyDescent="0.2">
      <c r="F25" s="2">
        <v>2</v>
      </c>
      <c r="G25">
        <f t="shared" si="0"/>
        <v>7.990867579908676E-6</v>
      </c>
      <c r="H25">
        <v>0</v>
      </c>
      <c r="I25">
        <f t="array" ref="I25:AA25">TRANSPOSE(MMULT(Sheet1!$B$44:'Sheet1'!$T$62,TRANSPOSE(I26:AA26))+MMULT(Sheet1!$B$90:'Sheet1'!$T$108,TRANSPOSE(Sheet1!B87:'Sheet1'!T87)))</f>
        <v>4.5969979110934625E-12</v>
      </c>
      <c r="J25">
        <v>7.6786444574696723E-11</v>
      </c>
      <c r="K25">
        <v>1.2526239632425098E-9</v>
      </c>
      <c r="L25">
        <v>1.9879018239049736E-8</v>
      </c>
      <c r="M25">
        <v>3.0319677991364757E-7</v>
      </c>
      <c r="N25">
        <v>4.3449878115886378E-6</v>
      </c>
      <c r="O25">
        <v>5.5652378464706726E-5</v>
      </c>
      <c r="P25">
        <v>5.4619048080749191E-4</v>
      </c>
      <c r="Q25">
        <v>3.1854342669462702E-3</v>
      </c>
      <c r="R25">
        <v>8.3111570513540629E-3</v>
      </c>
      <c r="S25">
        <v>1.3888072270007117E-2</v>
      </c>
      <c r="T25">
        <v>1.9426187524247449E-2</v>
      </c>
      <c r="U25">
        <v>2.4871577880060537E-2</v>
      </c>
      <c r="V25">
        <v>3.0221292846518796E-2</v>
      </c>
      <c r="W25">
        <v>3.547923895391502E-2</v>
      </c>
      <c r="X25">
        <v>4.0691781479642357E-2</v>
      </c>
      <c r="Y25">
        <v>4.6521801269188236E-2</v>
      </c>
      <c r="Z25">
        <v>6.1832270907385717E-2</v>
      </c>
      <c r="AA25">
        <v>0.18452158414017247</v>
      </c>
      <c r="AB25">
        <f t="shared" si="1"/>
        <v>0.93544913337824576</v>
      </c>
    </row>
    <row r="26" spans="3:35" x14ac:dyDescent="0.2">
      <c r="F26" s="2">
        <v>1</v>
      </c>
      <c r="G26">
        <f>G27+$D$19</f>
        <v>3.995433789954338E-6</v>
      </c>
      <c r="H26">
        <v>0</v>
      </c>
      <c r="I26">
        <f t="array" ref="I26:AA26">TRANSPOSE(MMULT(Sheet1!$B$44:'Sheet1'!$T$62,TRANSPOSE(I27:AA27))+MMULT(Sheet1!$B$90:'Sheet1'!$T$108,TRANSPOSE(Sheet1!B88:'Sheet1'!T88)))</f>
        <v>3.167493187899101E-13</v>
      </c>
      <c r="J26">
        <v>6.035256180661074E-12</v>
      </c>
      <c r="K26">
        <v>1.146773959105067E-10</v>
      </c>
      <c r="L26">
        <v>2.1789969487664176E-9</v>
      </c>
      <c r="M26">
        <v>4.1403343393920021E-8</v>
      </c>
      <c r="N26">
        <v>7.8670915306467095E-7</v>
      </c>
      <c r="O26">
        <v>1.4948340901534947E-5</v>
      </c>
      <c r="P26">
        <v>2.8403495095745228E-4</v>
      </c>
      <c r="Q26">
        <v>2.8751456525422277E-3</v>
      </c>
      <c r="R26">
        <v>8.2713557870052277E-3</v>
      </c>
      <c r="S26">
        <v>1.3895133526050688E-2</v>
      </c>
      <c r="T26">
        <v>1.9437290471406878E-2</v>
      </c>
      <c r="U26">
        <v>2.488282564572309E-2</v>
      </c>
      <c r="V26">
        <v>3.0232219844192151E-2</v>
      </c>
      <c r="W26">
        <v>3.5487036827386804E-2</v>
      </c>
      <c r="X26">
        <v>4.0654274558989428E-2</v>
      </c>
      <c r="Y26">
        <v>4.5843667946360286E-2</v>
      </c>
      <c r="Z26">
        <v>5.3117314467851492E-2</v>
      </c>
      <c r="AA26">
        <v>0.10163463650458196</v>
      </c>
      <c r="AB26">
        <f>EXP(0.5*($D$23+1)*$AB$28+($D$23+1)^2*G26/4)</f>
        <v>0.93544539586063602</v>
      </c>
    </row>
    <row r="27" spans="3:35" x14ac:dyDescent="0.2">
      <c r="C27" s="4" t="s">
        <v>32</v>
      </c>
      <c r="D27">
        <f>R32</f>
        <v>1.2629209430637063</v>
      </c>
      <c r="F27" s="2">
        <v>0</v>
      </c>
      <c r="G27">
        <v>0</v>
      </c>
      <c r="H27">
        <f>MAX(EXP(H28*($D$23+1)/2)-EXP(H28*($D$23-1)/2),0)</f>
        <v>0</v>
      </c>
      <c r="I27">
        <f t="shared" ref="I27:Z27" si="2">MAX(EXP(I28*($D$23+1)/2)-EXP(I28*($D$23-1)/2),0)</f>
        <v>0</v>
      </c>
      <c r="J27">
        <f t="shared" si="2"/>
        <v>0</v>
      </c>
      <c r="K27">
        <f t="shared" si="2"/>
        <v>0</v>
      </c>
      <c r="L27">
        <f t="shared" si="2"/>
        <v>0</v>
      </c>
      <c r="M27">
        <f t="shared" si="2"/>
        <v>0</v>
      </c>
      <c r="N27">
        <f t="shared" si="2"/>
        <v>0</v>
      </c>
      <c r="O27">
        <f t="shared" si="2"/>
        <v>0</v>
      </c>
      <c r="P27">
        <f t="shared" si="2"/>
        <v>0</v>
      </c>
      <c r="Q27">
        <f t="shared" si="2"/>
        <v>2.5218314365418326E-3</v>
      </c>
      <c r="R27">
        <f t="shared" si="2"/>
        <v>8.2638888888888484E-3</v>
      </c>
      <c r="S27">
        <f t="shared" si="2"/>
        <v>1.3905717205375812E-2</v>
      </c>
      <c r="T27">
        <f t="shared" si="2"/>
        <v>1.9448675099828394E-2</v>
      </c>
      <c r="U27">
        <f t="shared" si="2"/>
        <v>2.4894104379501569E-2</v>
      </c>
      <c r="V27">
        <f t="shared" si="2"/>
        <v>3.0243330147914471E-2</v>
      </c>
      <c r="W27">
        <f t="shared" si="2"/>
        <v>3.5497661005293168E-2</v>
      </c>
      <c r="X27">
        <f t="shared" si="2"/>
        <v>4.0658389246647109E-2</v>
      </c>
      <c r="Y27">
        <f t="shared" si="2"/>
        <v>4.572679105751043E-2</v>
      </c>
      <c r="Z27">
        <f t="shared" si="2"/>
        <v>5.0704126707373232E-2</v>
      </c>
      <c r="AA27">
        <f>MAX(EXP(AA28*($D$23+1)/2)-EXP(AA28*($D$23-1)/2),0)</f>
        <v>5.5591640740829673E-2</v>
      </c>
      <c r="AB27">
        <f>MAX(EXP(AB28*($D$23+1)/2)-EXP(AB28*($D$23-1)/2),0)</f>
        <v>6.0390562166470318E-2</v>
      </c>
    </row>
    <row r="28" spans="3:35" x14ac:dyDescent="0.2">
      <c r="C28" s="4" t="s">
        <v>33</v>
      </c>
      <c r="D28">
        <f>bscall(D3,D5,D4,D7,D6,D8)</f>
        <v>1.2520172607926838</v>
      </c>
      <c r="G28" s="6" t="s">
        <v>24</v>
      </c>
      <c r="H28">
        <f>D14</f>
        <v>-0.05</v>
      </c>
      <c r="I28">
        <f>H28+$D$16</f>
        <v>-4.4163175032948344E-2</v>
      </c>
      <c r="J28">
        <f t="shared" ref="J28:Z28" si="3">I28+$D$16</f>
        <v>-3.8326350065896686E-2</v>
      </c>
      <c r="K28">
        <f t="shared" si="3"/>
        <v>-3.2489525098845028E-2</v>
      </c>
      <c r="L28">
        <f t="shared" si="3"/>
        <v>-2.6652700131793369E-2</v>
      </c>
      <c r="M28">
        <f t="shared" si="3"/>
        <v>-2.0815875164741711E-2</v>
      </c>
      <c r="N28">
        <f t="shared" si="3"/>
        <v>-1.4979050197690053E-2</v>
      </c>
      <c r="O28">
        <f t="shared" si="3"/>
        <v>-9.1422252306383942E-3</v>
      </c>
      <c r="P28">
        <f t="shared" si="3"/>
        <v>-3.3054002635867358E-3</v>
      </c>
      <c r="Q28">
        <f t="shared" si="3"/>
        <v>2.5314247034649226E-3</v>
      </c>
      <c r="R28">
        <f>Q28+$D$16</f>
        <v>8.368249670516581E-3</v>
      </c>
      <c r="S28">
        <f t="shared" si="3"/>
        <v>1.4205074637568239E-2</v>
      </c>
      <c r="T28">
        <f t="shared" si="3"/>
        <v>2.0041899604619898E-2</v>
      </c>
      <c r="U28">
        <f t="shared" si="3"/>
        <v>2.5878724571671556E-2</v>
      </c>
      <c r="V28">
        <f t="shared" si="3"/>
        <v>3.1715549538723214E-2</v>
      </c>
      <c r="W28">
        <f t="shared" si="3"/>
        <v>3.7552374505774873E-2</v>
      </c>
      <c r="X28">
        <f t="shared" si="3"/>
        <v>4.3389199472826531E-2</v>
      </c>
      <c r="Y28">
        <f t="shared" si="3"/>
        <v>4.922602443987819E-2</v>
      </c>
      <c r="Z28">
        <f t="shared" si="3"/>
        <v>5.5062849406929848E-2</v>
      </c>
      <c r="AA28">
        <f>Z28+$D$16</f>
        <v>6.0899674373981506E-2</v>
      </c>
      <c r="AB28">
        <f>AA28+$D$16</f>
        <v>6.6736499341033165E-2</v>
      </c>
    </row>
    <row r="29" spans="3:35" x14ac:dyDescent="0.2">
      <c r="C29" s="4" t="s">
        <v>34</v>
      </c>
      <c r="D29">
        <f>ABS(D27-D28)</f>
        <v>1.0903682271022452E-2</v>
      </c>
    </row>
    <row r="31" spans="3:35" x14ac:dyDescent="0.2">
      <c r="G31" t="s">
        <v>20</v>
      </c>
      <c r="H31">
        <v>0</v>
      </c>
      <c r="I31">
        <v>1</v>
      </c>
      <c r="J31">
        <v>2</v>
      </c>
      <c r="K31">
        <v>3</v>
      </c>
      <c r="L31">
        <v>4</v>
      </c>
      <c r="M31">
        <v>5</v>
      </c>
      <c r="N31">
        <v>6</v>
      </c>
      <c r="O31">
        <v>7</v>
      </c>
      <c r="P31">
        <v>8</v>
      </c>
      <c r="Q31">
        <v>9</v>
      </c>
      <c r="R31">
        <v>10</v>
      </c>
      <c r="S31">
        <v>11</v>
      </c>
      <c r="T31">
        <v>12</v>
      </c>
      <c r="U31">
        <v>13</v>
      </c>
      <c r="V31">
        <v>14</v>
      </c>
      <c r="W31">
        <v>15</v>
      </c>
      <c r="X31">
        <v>16</v>
      </c>
      <c r="Y31">
        <v>17</v>
      </c>
      <c r="Z31">
        <v>18</v>
      </c>
      <c r="AA31">
        <v>19</v>
      </c>
      <c r="AB31">
        <v>20</v>
      </c>
    </row>
    <row r="32" spans="3:35" x14ac:dyDescent="0.2">
      <c r="F32" s="2">
        <v>24</v>
      </c>
      <c r="G32">
        <f t="shared" ref="G32:G54" si="4">G33+$D$19</f>
        <v>9.5890410958904092E-5</v>
      </c>
      <c r="H32">
        <f t="shared" ref="H32:H55" si="5">$D$6*EXP(-($D$23-1)/2*H$57-(($D$23-1)^2/4+$D$4)*$G32)*H3</f>
        <v>0</v>
      </c>
      <c r="I32">
        <f t="shared" ref="I32:AB44" si="6">$D$6*EXP(-($D$23-1)/2*I$57-(($D$23-1)^2/4+$D$24)*$G32)*I3</f>
        <v>5.3885845441718554E-4</v>
      </c>
      <c r="J32">
        <f t="shared" si="6"/>
        <v>1.9986966533788952E-3</v>
      </c>
      <c r="K32">
        <f t="shared" si="6"/>
        <v>6.3896559848908244E-3</v>
      </c>
      <c r="L32">
        <f t="shared" si="6"/>
        <v>1.8517032168257175E-2</v>
      </c>
      <c r="M32">
        <f t="shared" si="6"/>
        <v>4.8558658538325458E-2</v>
      </c>
      <c r="N32">
        <f t="shared" ref="N32:Z43" si="7">$D$6*EXP(-($D$23-1)/2*N$57-(($D$23-1)^2/4+$D$24)*$G32)*N3</f>
        <v>0.11474845850225179</v>
      </c>
      <c r="O32">
        <f t="shared" si="7"/>
        <v>0.24370934130707567</v>
      </c>
      <c r="P32">
        <f t="shared" si="7"/>
        <v>0.46534220469340515</v>
      </c>
      <c r="Q32">
        <f t="shared" si="7"/>
        <v>0.80250147606867295</v>
      </c>
      <c r="R32" s="7">
        <f t="shared" si="7"/>
        <v>1.2629209430637063</v>
      </c>
      <c r="S32">
        <f t="shared" si="7"/>
        <v>1.8461433286455819</v>
      </c>
      <c r="T32">
        <f t="shared" si="7"/>
        <v>2.5788254728212765</v>
      </c>
      <c r="U32">
        <f t="shared" si="7"/>
        <v>3.5984979584200394</v>
      </c>
      <c r="V32">
        <f t="shared" si="7"/>
        <v>5.3249047823870113</v>
      </c>
      <c r="W32">
        <f t="shared" si="7"/>
        <v>8.7551869069476282</v>
      </c>
      <c r="X32">
        <f t="shared" si="7"/>
        <v>15.809713585735029</v>
      </c>
      <c r="Y32">
        <f t="shared" si="7"/>
        <v>29.375765584508233</v>
      </c>
      <c r="Z32">
        <f t="shared" si="7"/>
        <v>52.432531157523229</v>
      </c>
      <c r="AA32">
        <f>$D$6*EXP(-($D$23-1)/2*AA$57-(($D$23-1)^2/4+$D$24)*$G32)*AA3</f>
        <v>86.011076304552219</v>
      </c>
      <c r="AB32">
        <f>$D$6*EXP(-($D$23-1)/2*AB$57-(($D$23-1)^2/4+$D$24)*$G32)*AB3</f>
        <v>127.16385234081304</v>
      </c>
    </row>
    <row r="33" spans="6:28" x14ac:dyDescent="0.2">
      <c r="F33" s="2">
        <v>23</v>
      </c>
      <c r="G33">
        <f t="shared" si="4"/>
        <v>9.1894977168949758E-5</v>
      </c>
      <c r="H33">
        <f t="shared" si="5"/>
        <v>0</v>
      </c>
      <c r="I33">
        <f t="shared" si="6"/>
        <v>4.404672427723273E-4</v>
      </c>
      <c r="J33">
        <f t="shared" si="6"/>
        <v>1.6807605640035163E-3</v>
      </c>
      <c r="K33">
        <f t="shared" si="6"/>
        <v>5.5395007353386616E-3</v>
      </c>
      <c r="L33">
        <f t="shared" si="6"/>
        <v>1.6525662106342511E-2</v>
      </c>
      <c r="M33">
        <f t="shared" si="6"/>
        <v>4.450381173933466E-2</v>
      </c>
      <c r="N33">
        <f t="shared" si="7"/>
        <v>0.10766975924029697</v>
      </c>
      <c r="O33">
        <f t="shared" si="7"/>
        <v>0.23326363624210611</v>
      </c>
      <c r="P33">
        <f t="shared" si="7"/>
        <v>0.45244501876461629</v>
      </c>
      <c r="Q33">
        <f t="shared" si="7"/>
        <v>0.78907229383382571</v>
      </c>
      <c r="R33">
        <f t="shared" si="7"/>
        <v>1.250117208248184</v>
      </c>
      <c r="S33">
        <f t="shared" si="7"/>
        <v>1.8311279452344777</v>
      </c>
      <c r="T33">
        <f t="shared" si="7"/>
        <v>2.5493821107569228</v>
      </c>
      <c r="U33">
        <f t="shared" si="7"/>
        <v>3.5231114418502476</v>
      </c>
      <c r="V33">
        <f t="shared" si="7"/>
        <v>5.1381565299094794</v>
      </c>
      <c r="W33">
        <f t="shared" si="7"/>
        <v>8.350767565280476</v>
      </c>
      <c r="X33">
        <f t="shared" si="7"/>
        <v>15.074482628101993</v>
      </c>
      <c r="Y33">
        <f t="shared" si="7"/>
        <v>28.298863777251825</v>
      </c>
      <c r="Z33">
        <f t="shared" si="7"/>
        <v>51.248203110827319</v>
      </c>
      <c r="AA33">
        <f t="shared" ref="AA33" si="8">$D$6*EXP(-($D$23-1)/2*AA$57-(($D$23-1)^2/4+$D$24)*$G33)*AA4</f>
        <v>85.200464774941779</v>
      </c>
      <c r="AB33">
        <f t="shared" si="6"/>
        <v>127.165884656063</v>
      </c>
    </row>
    <row r="34" spans="6:28" x14ac:dyDescent="0.2">
      <c r="F34" s="2">
        <v>22</v>
      </c>
      <c r="G34">
        <f t="shared" si="4"/>
        <v>8.7899543378995424E-5</v>
      </c>
      <c r="H34">
        <f t="shared" si="5"/>
        <v>0</v>
      </c>
      <c r="I34">
        <f t="shared" si="6"/>
        <v>3.5538514519204095E-4</v>
      </c>
      <c r="J34">
        <f t="shared" si="6"/>
        <v>1.3977746483674039E-3</v>
      </c>
      <c r="K34">
        <f t="shared" si="6"/>
        <v>4.758374253585532E-3</v>
      </c>
      <c r="L34">
        <f t="shared" si="6"/>
        <v>1.4639974635174175E-2</v>
      </c>
      <c r="M34">
        <f t="shared" si="6"/>
        <v>4.0559196644208824E-2</v>
      </c>
      <c r="N34">
        <f t="shared" si="7"/>
        <v>0.10062700116611081</v>
      </c>
      <c r="O34">
        <f t="shared" si="7"/>
        <v>0.22270065896532437</v>
      </c>
      <c r="P34">
        <f t="shared" si="7"/>
        <v>0.43930629563573786</v>
      </c>
      <c r="Q34">
        <f t="shared" si="7"/>
        <v>0.77548616911985435</v>
      </c>
      <c r="R34">
        <f t="shared" si="7"/>
        <v>1.2376100572616429</v>
      </c>
      <c r="S34">
        <f t="shared" si="7"/>
        <v>1.8174590088740732</v>
      </c>
      <c r="T34">
        <f t="shared" si="7"/>
        <v>2.5234554885541192</v>
      </c>
      <c r="U34">
        <f t="shared" si="7"/>
        <v>3.4551323031030927</v>
      </c>
      <c r="V34">
        <f t="shared" si="7"/>
        <v>4.9636531690493335</v>
      </c>
      <c r="W34">
        <f t="shared" si="7"/>
        <v>7.9596168762371047</v>
      </c>
      <c r="X34">
        <f t="shared" si="7"/>
        <v>14.340601106563222</v>
      </c>
      <c r="Y34">
        <f t="shared" si="7"/>
        <v>27.193866302912848</v>
      </c>
      <c r="Z34">
        <f t="shared" si="7"/>
        <v>50.005694410100723</v>
      </c>
      <c r="AA34">
        <f t="shared" ref="AA34" si="9">$D$6*EXP(-($D$23-1)/2*AA$57-(($D$23-1)^2/4+$D$24)*$G34)*AA5</f>
        <v>84.337280531384977</v>
      </c>
      <c r="AB34">
        <f t="shared" si="6"/>
        <v>127.16791700379308</v>
      </c>
    </row>
    <row r="35" spans="6:28" x14ac:dyDescent="0.2">
      <c r="F35" s="2">
        <v>21</v>
      </c>
      <c r="G35">
        <f t="shared" si="4"/>
        <v>8.3904109589041091E-5</v>
      </c>
      <c r="H35">
        <f t="shared" si="5"/>
        <v>0</v>
      </c>
      <c r="I35">
        <f t="shared" si="6"/>
        <v>2.8265635238981953E-4</v>
      </c>
      <c r="J35">
        <f t="shared" si="6"/>
        <v>1.1482619937922898E-3</v>
      </c>
      <c r="K35">
        <f t="shared" si="6"/>
        <v>4.0458985458475295E-3</v>
      </c>
      <c r="L35">
        <f t="shared" si="6"/>
        <v>1.2863702859621432E-2</v>
      </c>
      <c r="M35">
        <f t="shared" si="6"/>
        <v>3.6734292186190572E-2</v>
      </c>
      <c r="N35">
        <f t="shared" si="7"/>
        <v>9.3629897524441771E-2</v>
      </c>
      <c r="O35">
        <f t="shared" si="7"/>
        <v>0.21201710914093741</v>
      </c>
      <c r="P35">
        <f t="shared" si="7"/>
        <v>0.42590121438918638</v>
      </c>
      <c r="Q35">
        <f t="shared" si="7"/>
        <v>0.76170090394618883</v>
      </c>
      <c r="R35">
        <f t="shared" si="7"/>
        <v>1.2253337086245955</v>
      </c>
      <c r="S35">
        <f t="shared" si="7"/>
        <v>1.8050103599588829</v>
      </c>
      <c r="T35">
        <f t="shared" si="7"/>
        <v>2.500843225928592</v>
      </c>
      <c r="U35">
        <f t="shared" si="7"/>
        <v>3.3944340852954724</v>
      </c>
      <c r="V35">
        <f t="shared" si="7"/>
        <v>4.8018184123302028</v>
      </c>
      <c r="W35">
        <f t="shared" si="7"/>
        <v>7.5832679050134333</v>
      </c>
      <c r="X35">
        <f t="shared" si="7"/>
        <v>13.610221457357031</v>
      </c>
      <c r="Y35">
        <f t="shared" si="7"/>
        <v>26.060910318538316</v>
      </c>
      <c r="Z35">
        <f t="shared" si="7"/>
        <v>48.700599531244116</v>
      </c>
      <c r="AA35">
        <f t="shared" ref="AA35" si="10">$D$6*EXP(-($D$23-1)/2*AA$57-(($D$23-1)^2/4+$D$24)*$G35)*AA6</f>
        <v>83.415669551693568</v>
      </c>
      <c r="AB35">
        <f t="shared" si="6"/>
        <v>127.16994938400393</v>
      </c>
    </row>
    <row r="36" spans="6:28" x14ac:dyDescent="0.2">
      <c r="F36" s="2">
        <v>20</v>
      </c>
      <c r="G36">
        <f t="shared" si="4"/>
        <v>7.9908675799086757E-5</v>
      </c>
      <c r="H36">
        <f t="shared" si="5"/>
        <v>0</v>
      </c>
      <c r="I36">
        <f t="shared" si="6"/>
        <v>2.2127729124400597E-4</v>
      </c>
      <c r="J36">
        <f t="shared" si="6"/>
        <v>9.3055851129032578E-4</v>
      </c>
      <c r="K36">
        <f t="shared" si="6"/>
        <v>3.4013304998080749E-3</v>
      </c>
      <c r="L36">
        <f t="shared" si="6"/>
        <v>1.1200359889383239E-2</v>
      </c>
      <c r="M36">
        <f t="shared" si="6"/>
        <v>3.3039226668397335E-2</v>
      </c>
      <c r="N36">
        <f t="shared" si="7"/>
        <v>8.6689791784749934E-2</v>
      </c>
      <c r="O36">
        <f t="shared" si="7"/>
        <v>0.20121070038723926</v>
      </c>
      <c r="P36">
        <f t="shared" si="7"/>
        <v>0.4122042414793099</v>
      </c>
      <c r="Q36">
        <f t="shared" si="7"/>
        <v>0.74767481054372087</v>
      </c>
      <c r="R36">
        <f t="shared" si="7"/>
        <v>1.2132269286650055</v>
      </c>
      <c r="S36">
        <f t="shared" si="7"/>
        <v>1.7936585225390032</v>
      </c>
      <c r="T36">
        <f t="shared" si="7"/>
        <v>2.4813262381596353</v>
      </c>
      <c r="U36">
        <f t="shared" si="7"/>
        <v>3.3408340951322084</v>
      </c>
      <c r="V36">
        <f t="shared" si="7"/>
        <v>4.6530046562995331</v>
      </c>
      <c r="W36">
        <f t="shared" si="7"/>
        <v>7.2233051030064743</v>
      </c>
      <c r="X36">
        <f t="shared" si="7"/>
        <v>12.88581896965386</v>
      </c>
      <c r="Y36">
        <f t="shared" si="7"/>
        <v>24.900461935354322</v>
      </c>
      <c r="Z36">
        <f t="shared" si="7"/>
        <v>47.328131989845019</v>
      </c>
      <c r="AA36">
        <f t="shared" ref="AA36" si="11">$D$6*EXP(-($D$23-1)/2*AA$57-(($D$23-1)^2/4+$D$24)*$G36)*AA7</f>
        <v>82.428839954032483</v>
      </c>
      <c r="AB36">
        <f t="shared" si="6"/>
        <v>127.17198179669595</v>
      </c>
    </row>
    <row r="37" spans="6:28" x14ac:dyDescent="0.2">
      <c r="F37" s="2">
        <v>19</v>
      </c>
      <c r="G37">
        <f t="shared" si="4"/>
        <v>7.5913242009132423E-5</v>
      </c>
      <c r="H37">
        <f t="shared" si="5"/>
        <v>0</v>
      </c>
      <c r="I37">
        <f t="shared" si="6"/>
        <v>1.7020809691965764E-4</v>
      </c>
      <c r="J37">
        <f t="shared" si="6"/>
        <v>7.4281924874208393E-4</v>
      </c>
      <c r="K37">
        <f t="shared" si="6"/>
        <v>2.8235244495935048E-3</v>
      </c>
      <c r="L37">
        <f t="shared" si="6"/>
        <v>9.653147960956605E-3</v>
      </c>
      <c r="M37">
        <f t="shared" si="6"/>
        <v>2.9484758543565592E-2</v>
      </c>
      <c r="N37">
        <f t="shared" si="7"/>
        <v>7.9819861535529557E-2</v>
      </c>
      <c r="O37">
        <f t="shared" si="7"/>
        <v>0.19028031527512079</v>
      </c>
      <c r="P37">
        <f t="shared" si="7"/>
        <v>0.39818875291785999</v>
      </c>
      <c r="Q37">
        <f t="shared" si="7"/>
        <v>0.73336632647336564</v>
      </c>
      <c r="R37">
        <f t="shared" si="7"/>
        <v>1.2012337084296882</v>
      </c>
      <c r="S37">
        <f t="shared" si="7"/>
        <v>1.7832847832804188</v>
      </c>
      <c r="T37">
        <f t="shared" si="7"/>
        <v>2.4646713399443811</v>
      </c>
      <c r="U37">
        <f t="shared" si="7"/>
        <v>3.2940909878930138</v>
      </c>
      <c r="V37">
        <f t="shared" si="7"/>
        <v>4.5174763211493651</v>
      </c>
      <c r="W37">
        <f t="shared" si="7"/>
        <v>6.8813442420753113</v>
      </c>
      <c r="X37">
        <f t="shared" si="7"/>
        <v>12.170222719027569</v>
      </c>
      <c r="Y37">
        <f t="shared" si="7"/>
        <v>23.71340921031884</v>
      </c>
      <c r="Z37">
        <f t="shared" si="7"/>
        <v>45.883108726577966</v>
      </c>
      <c r="AA37">
        <f t="shared" ref="AA37" si="12">$D$6*EXP(-($D$23-1)/2*AA$57-(($D$23-1)^2/4+$D$24)*$G37)*AA8</f>
        <v>81.368865027618611</v>
      </c>
      <c r="AB37">
        <f t="shared" si="6"/>
        <v>127.17401424186973</v>
      </c>
    </row>
    <row r="38" spans="6:28" x14ac:dyDescent="0.2">
      <c r="F38" s="2">
        <v>18</v>
      </c>
      <c r="G38">
        <f t="shared" si="4"/>
        <v>7.1917808219178089E-5</v>
      </c>
      <c r="H38">
        <f t="shared" si="5"/>
        <v>0</v>
      </c>
      <c r="I38">
        <f t="shared" si="6"/>
        <v>1.2838598915837881E-4</v>
      </c>
      <c r="J38">
        <f t="shared" si="6"/>
        <v>5.830295079074638E-4</v>
      </c>
      <c r="K38">
        <f t="shared" si="6"/>
        <v>2.3108965628523457E-3</v>
      </c>
      <c r="L38">
        <f t="shared" si="6"/>
        <v>8.2248522111235574E-3</v>
      </c>
      <c r="M38">
        <f t="shared" si="6"/>
        <v>2.6082236358363497E-2</v>
      </c>
      <c r="N38">
        <f t="shared" si="7"/>
        <v>7.3035355891028955E-2</v>
      </c>
      <c r="O38">
        <f t="shared" si="7"/>
        <v>0.17922622582507861</v>
      </c>
      <c r="P38">
        <f t="shared" si="7"/>
        <v>0.38382659012578502</v>
      </c>
      <c r="Q38">
        <f t="shared" si="7"/>
        <v>0.71873349629223116</v>
      </c>
      <c r="R38">
        <f t="shared" si="7"/>
        <v>1.1893039029407371</v>
      </c>
      <c r="S38">
        <f t="shared" si="7"/>
        <v>1.7737773502254144</v>
      </c>
      <c r="T38">
        <f t="shared" si="7"/>
        <v>2.450634493111381</v>
      </c>
      <c r="U38">
        <f t="shared" si="7"/>
        <v>3.2539035770509916</v>
      </c>
      <c r="V38">
        <f t="shared" si="7"/>
        <v>4.3953920954296066</v>
      </c>
      <c r="W38">
        <f t="shared" si="7"/>
        <v>6.5590054168298915</v>
      </c>
      <c r="X38">
        <f t="shared" si="7"/>
        <v>11.466644226552576</v>
      </c>
      <c r="Y38">
        <f t="shared" si="7"/>
        <v>22.50117716683064</v>
      </c>
      <c r="Z38">
        <f t="shared" si="7"/>
        <v>44.359945576000115</v>
      </c>
      <c r="AA38">
        <f t="shared" ref="AA38" si="13">$D$6*EXP(-($D$23-1)/2*AA$57-(($D$23-1)^2/4+$D$24)*$G38)*AA9</f>
        <v>80.226435274762565</v>
      </c>
      <c r="AB38">
        <f t="shared" si="6"/>
        <v>127.17604671952576</v>
      </c>
    </row>
    <row r="39" spans="6:28" x14ac:dyDescent="0.2">
      <c r="F39" s="2">
        <v>17</v>
      </c>
      <c r="G39">
        <f t="shared" si="4"/>
        <v>6.7922374429223755E-5</v>
      </c>
      <c r="H39">
        <f t="shared" si="5"/>
        <v>0</v>
      </c>
      <c r="I39">
        <f t="shared" si="6"/>
        <v>9.474038401662303E-5</v>
      </c>
      <c r="J39">
        <f t="shared" si="6"/>
        <v>4.4902143402930953E-4</v>
      </c>
      <c r="K39">
        <f t="shared" si="6"/>
        <v>1.8613929373321198E-3</v>
      </c>
      <c r="L39">
        <f t="shared" si="6"/>
        <v>6.9177179087127607E-3</v>
      </c>
      <c r="M39">
        <f t="shared" si="6"/>
        <v>2.2843529924209457E-2</v>
      </c>
      <c r="N39">
        <f t="shared" si="7"/>
        <v>6.6353868600981442E-2</v>
      </c>
      <c r="O39">
        <f t="shared" si="7"/>
        <v>0.16805040155799822</v>
      </c>
      <c r="P39">
        <f t="shared" si="7"/>
        <v>0.36908754045182479</v>
      </c>
      <c r="Q39">
        <f t="shared" si="7"/>
        <v>0.7037332985971495</v>
      </c>
      <c r="R39">
        <f t="shared" si="7"/>
        <v>1.1773938354265541</v>
      </c>
      <c r="S39">
        <f t="shared" si="7"/>
        <v>1.765033534181248</v>
      </c>
      <c r="T39">
        <f t="shared" si="7"/>
        <v>2.4389646785945578</v>
      </c>
      <c r="U39">
        <f t="shared" si="7"/>
        <v>3.2199112188134684</v>
      </c>
      <c r="V39">
        <f t="shared" si="7"/>
        <v>4.2867865990173879</v>
      </c>
      <c r="W39">
        <f t="shared" si="7"/>
        <v>6.2578778661099328</v>
      </c>
      <c r="X39">
        <f t="shared" si="7"/>
        <v>10.778701072872465</v>
      </c>
      <c r="Y39">
        <f t="shared" si="7"/>
        <v>21.265869248992438</v>
      </c>
      <c r="Z39">
        <f t="shared" si="7"/>
        <v>42.752671222702745</v>
      </c>
      <c r="AA39">
        <f t="shared" ref="AA39" si="14">$D$6*EXP(-($D$23-1)/2*AA$57-(($D$23-1)^2/4+$D$24)*$G39)*AA10</f>
        <v>78.990543927092418</v>
      </c>
      <c r="AB39">
        <f t="shared" si="6"/>
        <v>127.1780792296646</v>
      </c>
    </row>
    <row r="40" spans="6:28" x14ac:dyDescent="0.2">
      <c r="F40" s="2">
        <v>16</v>
      </c>
      <c r="G40">
        <f t="shared" si="4"/>
        <v>6.3926940639269422E-5</v>
      </c>
      <c r="H40">
        <f t="shared" si="5"/>
        <v>0</v>
      </c>
      <c r="I40">
        <f t="shared" si="6"/>
        <v>6.8209444537511196E-5</v>
      </c>
      <c r="J40">
        <f t="shared" si="6"/>
        <v>3.3849667277682734E-4</v>
      </c>
      <c r="K40">
        <f t="shared" si="6"/>
        <v>1.4724638297073239E-3</v>
      </c>
      <c r="L40">
        <f t="shared" si="6"/>
        <v>5.7333105296926883E-3</v>
      </c>
      <c r="M40">
        <f t="shared" si="6"/>
        <v>1.9780922603533244E-2</v>
      </c>
      <c r="N40">
        <f t="shared" si="7"/>
        <v>5.97956474913433E-2</v>
      </c>
      <c r="O40">
        <f t="shared" si="7"/>
        <v>0.15675693418529676</v>
      </c>
      <c r="P40">
        <f t="shared" si="7"/>
        <v>0.35393873066273485</v>
      </c>
      <c r="Q40">
        <f t="shared" si="7"/>
        <v>0.68832079189868756</v>
      </c>
      <c r="R40">
        <f t="shared" si="7"/>
        <v>1.1654668812871354</v>
      </c>
      <c r="S40">
        <f t="shared" si="7"/>
        <v>1.7569618846506101</v>
      </c>
      <c r="T40">
        <f t="shared" si="7"/>
        <v>2.4294083293073272</v>
      </c>
      <c r="U40">
        <f t="shared" si="7"/>
        <v>3.1916961366870602</v>
      </c>
      <c r="V40">
        <f t="shared" si="7"/>
        <v>4.1915522282583417</v>
      </c>
      <c r="W40">
        <f t="shared" si="7"/>
        <v>5.9794753880905951</v>
      </c>
      <c r="X40">
        <f t="shared" si="7"/>
        <v>10.110431521724916</v>
      </c>
      <c r="Y40">
        <f t="shared" si="7"/>
        <v>20.010440017712021</v>
      </c>
      <c r="Z40">
        <f t="shared" si="7"/>
        <v>41.054970790367378</v>
      </c>
      <c r="AA40">
        <f t="shared" ref="AA40" si="15">$D$6*EXP(-($D$23-1)/2*AA$57-(($D$23-1)^2/4+$D$24)*$G40)*AA11</f>
        <v>77.648085023252165</v>
      </c>
      <c r="AB40">
        <f t="shared" si="6"/>
        <v>127.18011177228669</v>
      </c>
    </row>
    <row r="41" spans="6:28" x14ac:dyDescent="0.2">
      <c r="F41" s="2">
        <v>15</v>
      </c>
      <c r="G41">
        <f t="shared" si="4"/>
        <v>5.9931506849315088E-5</v>
      </c>
      <c r="H41">
        <f t="shared" si="5"/>
        <v>0</v>
      </c>
      <c r="I41">
        <f t="shared" si="6"/>
        <v>4.775762673899755E-5</v>
      </c>
      <c r="J41">
        <f t="shared" si="6"/>
        <v>2.4905554010820526E-4</v>
      </c>
      <c r="K41">
        <f t="shared" si="6"/>
        <v>1.1410470305267791E-3</v>
      </c>
      <c r="L41">
        <f t="shared" si="6"/>
        <v>4.6723590284136543E-3</v>
      </c>
      <c r="M41">
        <f t="shared" si="6"/>
        <v>1.6906952029288977E-2</v>
      </c>
      <c r="N41">
        <f t="shared" si="7"/>
        <v>5.3383938112846176E-2</v>
      </c>
      <c r="O41">
        <f t="shared" si="7"/>
        <v>0.1453526176278078</v>
      </c>
      <c r="P41">
        <f t="shared" si="7"/>
        <v>0.33834391808015452</v>
      </c>
      <c r="Q41">
        <f t="shared" si="7"/>
        <v>0.67244804444592943</v>
      </c>
      <c r="R41">
        <f t="shared" si="7"/>
        <v>1.1534940641605089</v>
      </c>
      <c r="S41">
        <f t="shared" si="7"/>
        <v>1.7494842028401982</v>
      </c>
      <c r="T41">
        <f t="shared" si="7"/>
        <v>2.4217142062876706</v>
      </c>
      <c r="U41">
        <f t="shared" si="7"/>
        <v>3.1687880400502606</v>
      </c>
      <c r="V41">
        <f t="shared" si="7"/>
        <v>4.1094222516529308</v>
      </c>
      <c r="W41">
        <f t="shared" si="7"/>
        <v>5.7251812933269539</v>
      </c>
      <c r="X41">
        <f t="shared" si="7"/>
        <v>9.4662946753577515</v>
      </c>
      <c r="Y41">
        <f t="shared" si="7"/>
        <v>18.738903980406686</v>
      </c>
      <c r="Z41">
        <f t="shared" si="7"/>
        <v>39.260275753064121</v>
      </c>
      <c r="AA41">
        <f t="shared" ref="AA41" si="16">$D$6*EXP(-($D$23-1)/2*AA$57-(($D$23-1)^2/4+$D$24)*$G41)*AA12</f>
        <v>76.183335707259943</v>
      </c>
      <c r="AB41">
        <f t="shared" si="6"/>
        <v>127.18214434739265</v>
      </c>
    </row>
    <row r="42" spans="6:28" x14ac:dyDescent="0.2">
      <c r="F42" s="2">
        <v>14</v>
      </c>
      <c r="G42">
        <f t="shared" si="4"/>
        <v>5.5936073059360747E-5</v>
      </c>
      <c r="H42">
        <f t="shared" si="5"/>
        <v>0</v>
      </c>
      <c r="I42">
        <f t="shared" si="6"/>
        <v>3.2393617131452833E-5</v>
      </c>
      <c r="J42">
        <f t="shared" si="6"/>
        <v>1.7823290345301654E-4</v>
      </c>
      <c r="K42">
        <f t="shared" si="6"/>
        <v>8.6356401157949131E-4</v>
      </c>
      <c r="L42">
        <f t="shared" si="6"/>
        <v>3.7345841635368399E-3</v>
      </c>
      <c r="M42">
        <f t="shared" si="6"/>
        <v>1.4234183638189679E-2</v>
      </c>
      <c r="N42">
        <f t="shared" si="7"/>
        <v>4.7145354864825934E-2</v>
      </c>
      <c r="O42">
        <f t="shared" si="7"/>
        <v>0.13384773525305152</v>
      </c>
      <c r="P42">
        <f t="shared" si="7"/>
        <v>0.32226265929748821</v>
      </c>
      <c r="Q42">
        <f t="shared" si="7"/>
        <v>0.65606280035485276</v>
      </c>
      <c r="R42">
        <f t="shared" si="7"/>
        <v>1.1414547212353769</v>
      </c>
      <c r="S42">
        <f t="shared" si="7"/>
        <v>1.7425373473068126</v>
      </c>
      <c r="T42">
        <f t="shared" si="7"/>
        <v>2.4156385368576303</v>
      </c>
      <c r="U42">
        <f t="shared" si="7"/>
        <v>3.1506713414618783</v>
      </c>
      <c r="V42">
        <f t="shared" si="7"/>
        <v>4.0399565765147543</v>
      </c>
      <c r="W42">
        <f t="shared" si="7"/>
        <v>5.4961822392986512</v>
      </c>
      <c r="X42">
        <f t="shared" si="7"/>
        <v>8.8511487383909273</v>
      </c>
      <c r="Y42">
        <f t="shared" si="7"/>
        <v>17.456584882110228</v>
      </c>
      <c r="Z42">
        <f t="shared" si="7"/>
        <v>37.361925073173893</v>
      </c>
      <c r="AA42">
        <f t="shared" ref="AA42" si="17">$D$6*EXP(-($D$23-1)/2*AA$57-(($D$23-1)^2/4+$D$24)*$G42)*AA13</f>
        <v>74.577284079934117</v>
      </c>
      <c r="AB42">
        <f t="shared" si="6"/>
        <v>127.18417695498292</v>
      </c>
    </row>
    <row r="43" spans="6:28" x14ac:dyDescent="0.2">
      <c r="F43" s="2">
        <v>13</v>
      </c>
      <c r="G43">
        <f t="shared" si="4"/>
        <v>5.1940639269406407E-5</v>
      </c>
      <c r="H43">
        <f t="shared" si="5"/>
        <v>0</v>
      </c>
      <c r="I43">
        <f t="shared" si="6"/>
        <v>2.1187895696770614E-5</v>
      </c>
      <c r="J43">
        <f>$D$6*EXP(-($D$23-1)/2*J$57-(($D$23-1)^2/4+$D$24)*$G43)*J14</f>
        <v>1.2354060368981786E-4</v>
      </c>
      <c r="K43">
        <f t="shared" si="6"/>
        <v>6.3593304344231917E-4</v>
      </c>
      <c r="L43">
        <f t="shared" si="6"/>
        <v>2.9185159647709359E-3</v>
      </c>
      <c r="M43">
        <f t="shared" si="6"/>
        <v>1.1774898223529952E-2</v>
      </c>
      <c r="N43">
        <f t="shared" si="7"/>
        <v>4.1110265374887524E-2</v>
      </c>
      <c r="O43">
        <f t="shared" si="7"/>
        <v>0.12225712444738884</v>
      </c>
      <c r="P43">
        <f t="shared" si="7"/>
        <v>0.30564933040264303</v>
      </c>
      <c r="Q43">
        <f t="shared" si="7"/>
        <v>0.63910681508009781</v>
      </c>
      <c r="R43">
        <f t="shared" si="7"/>
        <v>1.1293373291965101</v>
      </c>
      <c r="S43">
        <f t="shared" si="7"/>
        <v>1.7360747437698121</v>
      </c>
      <c r="T43">
        <f t="shared" si="7"/>
        <v>2.4109501636428079</v>
      </c>
      <c r="U43">
        <f t="shared" si="7"/>
        <v>3.1367951759390782</v>
      </c>
      <c r="V43">
        <f t="shared" si="7"/>
        <v>3.9825319879298102</v>
      </c>
      <c r="W43">
        <f t="shared" si="7"/>
        <v>5.293391030582602</v>
      </c>
      <c r="X43">
        <f t="shared" si="7"/>
        <v>8.2701975797985554</v>
      </c>
      <c r="Y43">
        <f t="shared" si="7"/>
        <v>16.17040802400069</v>
      </c>
      <c r="Z43">
        <f t="shared" si="7"/>
        <v>35.353434651001855</v>
      </c>
      <c r="AA43">
        <f t="shared" ref="AA43" si="18">$D$6*EXP(-($D$23-1)/2*AA$57-(($D$23-1)^2/4+$D$24)*$G43)*AA14</f>
        <v>72.80674949400003</v>
      </c>
      <c r="AB43">
        <f t="shared" si="6"/>
        <v>127.18620959505805</v>
      </c>
    </row>
    <row r="44" spans="6:28" x14ac:dyDescent="0.2">
      <c r="F44" s="2">
        <v>12</v>
      </c>
      <c r="G44">
        <f t="shared" si="4"/>
        <v>4.7945205479452066E-5</v>
      </c>
      <c r="H44">
        <f t="shared" si="5"/>
        <v>0</v>
      </c>
      <c r="I44">
        <f t="shared" si="6"/>
        <v>1.3289010681942192E-5</v>
      </c>
      <c r="J44">
        <f t="shared" si="6"/>
        <v>8.251573560272819E-5</v>
      </c>
      <c r="K44">
        <f t="shared" si="6"/>
        <v>4.5360390943639898E-4</v>
      </c>
      <c r="L44">
        <f t="shared" si="6"/>
        <v>2.2213075913223557E-3</v>
      </c>
      <c r="M44">
        <f t="shared" si="6"/>
        <v>9.5406716063264584E-3</v>
      </c>
      <c r="N44">
        <f t="shared" ref="N44:Z55" si="19">$D$6*EXP(-($D$23-1)/2*N$57-(($D$23-1)^2/4+$D$24)*$G44)*N15</f>
        <v>3.5313162005940944E-2</v>
      </c>
      <c r="O44">
        <f t="shared" si="19"/>
        <v>0.11060161389143035</v>
      </c>
      <c r="P44">
        <f t="shared" si="19"/>
        <v>0.28845196527035338</v>
      </c>
      <c r="Q44">
        <f t="shared" si="19"/>
        <v>0.62151376439348993</v>
      </c>
      <c r="R44">
        <f t="shared" si="19"/>
        <v>1.1171406291221506</v>
      </c>
      <c r="S44">
        <f t="shared" si="19"/>
        <v>1.7300675092724775</v>
      </c>
      <c r="T44">
        <f t="shared" si="19"/>
        <v>2.4074353829079365</v>
      </c>
      <c r="U44">
        <f t="shared" si="19"/>
        <v>3.1265862570249876</v>
      </c>
      <c r="V44">
        <f t="shared" si="19"/>
        <v>3.9363390324674419</v>
      </c>
      <c r="W44">
        <f t="shared" si="19"/>
        <v>5.1173596950913316</v>
      </c>
      <c r="X44">
        <f t="shared" si="19"/>
        <v>7.7288929990410589</v>
      </c>
      <c r="Y44">
        <f t="shared" si="19"/>
        <v>14.889234306184479</v>
      </c>
      <c r="Z44">
        <f t="shared" si="19"/>
        <v>33.228930249139594</v>
      </c>
      <c r="AA44">
        <f t="shared" ref="AA44:AB44" si="20">$D$6*EXP(-($D$23-1)/2*AA$57-(($D$23-1)^2/4+$D$24)*$G44)*AA15</f>
        <v>70.843221870262994</v>
      </c>
      <c r="AB44">
        <f t="shared" si="20"/>
        <v>127.18824226761853</v>
      </c>
    </row>
    <row r="45" spans="6:28" x14ac:dyDescent="0.2">
      <c r="F45" s="2">
        <v>11</v>
      </c>
      <c r="G45">
        <f t="shared" si="4"/>
        <v>4.3949771689497726E-5</v>
      </c>
      <c r="H45">
        <f t="shared" si="5"/>
        <v>0</v>
      </c>
      <c r="I45">
        <f t="shared" ref="I45:AB56" si="21">$D$6*EXP(-($D$23-1)/2*I$57-(($D$23-1)^2/4+$D$24)*$G45)*I16</f>
        <v>7.9375421704843539E-6</v>
      </c>
      <c r="J45">
        <f t="shared" si="21"/>
        <v>5.2773437351280772E-5</v>
      </c>
      <c r="K45">
        <f t="shared" si="21"/>
        <v>3.1161897156389341E-4</v>
      </c>
      <c r="L45">
        <f t="shared" si="21"/>
        <v>1.6385571647921677E-3</v>
      </c>
      <c r="M45">
        <f t="shared" si="21"/>
        <v>7.5418220940912037E-3</v>
      </c>
      <c r="N45">
        <f t="shared" si="19"/>
        <v>2.979297569992689E-2</v>
      </c>
      <c r="O45">
        <f t="shared" si="19"/>
        <v>9.8909963976559559E-2</v>
      </c>
      <c r="P45">
        <f t="shared" si="19"/>
        <v>0.27061086981992022</v>
      </c>
      <c r="Q45">
        <f t="shared" si="19"/>
        <v>0.60320658825382012</v>
      </c>
      <c r="R45">
        <f t="shared" si="19"/>
        <v>1.1048752529952961</v>
      </c>
      <c r="S45">
        <f t="shared" si="19"/>
        <v>1.7245051003605143</v>
      </c>
      <c r="T45">
        <f t="shared" si="19"/>
        <v>2.4049020890308057</v>
      </c>
      <c r="U45">
        <f t="shared" si="19"/>
        <v>3.1194643565432942</v>
      </c>
      <c r="V45">
        <f t="shared" si="19"/>
        <v>3.9003880124349455</v>
      </c>
      <c r="W45">
        <f t="shared" si="19"/>
        <v>4.9681860333496886</v>
      </c>
      <c r="X45">
        <f t="shared" si="19"/>
        <v>7.2327771136635413</v>
      </c>
      <c r="Y45">
        <f t="shared" si="19"/>
        <v>13.624227231355864</v>
      </c>
      <c r="Z45">
        <f t="shared" si="19"/>
        <v>30.983825918322367</v>
      </c>
      <c r="AA45">
        <f t="shared" ref="AA45" si="22">$D$6*EXP(-($D$23-1)/2*AA$57-(($D$23-1)^2/4+$D$24)*$G45)*AA16</f>
        <v>68.651317880471723</v>
      </c>
      <c r="AB45">
        <f t="shared" si="21"/>
        <v>127.19027497266494</v>
      </c>
    </row>
    <row r="46" spans="6:28" x14ac:dyDescent="0.2">
      <c r="F46" s="2">
        <v>10</v>
      </c>
      <c r="G46">
        <f t="shared" si="4"/>
        <v>3.9954337899543385E-5</v>
      </c>
      <c r="H46">
        <f t="shared" si="5"/>
        <v>0</v>
      </c>
      <c r="I46">
        <f t="shared" si="21"/>
        <v>4.4766903743799229E-6</v>
      </c>
      <c r="J46">
        <f t="shared" si="21"/>
        <v>3.2062022621382299E-5</v>
      </c>
      <c r="K46">
        <f t="shared" si="21"/>
        <v>2.0470494868854959E-4</v>
      </c>
      <c r="L46">
        <f t="shared" si="21"/>
        <v>1.1641548606455365E-3</v>
      </c>
      <c r="M46">
        <f t="shared" si="21"/>
        <v>5.7867007715387796E-3</v>
      </c>
      <c r="N46">
        <f t="shared" si="19"/>
        <v>2.4593258445205893E-2</v>
      </c>
      <c r="O46">
        <f t="shared" si="19"/>
        <v>8.7221489591046614E-2</v>
      </c>
      <c r="P46">
        <f t="shared" si="19"/>
        <v>0.25205696047025472</v>
      </c>
      <c r="Q46">
        <f t="shared" si="19"/>
        <v>0.58409406797816443</v>
      </c>
      <c r="R46">
        <f t="shared" si="19"/>
        <v>1.0925661433559182</v>
      </c>
      <c r="S46">
        <f t="shared" si="19"/>
        <v>1.7193953906400217</v>
      </c>
      <c r="T46">
        <f t="shared" si="19"/>
        <v>2.4031828024093613</v>
      </c>
      <c r="U46">
        <f t="shared" si="19"/>
        <v>3.1148598616541463</v>
      </c>
      <c r="V46">
        <f t="shared" si="19"/>
        <v>3.8735266633265235</v>
      </c>
      <c r="W46">
        <f t="shared" si="19"/>
        <v>4.84541957362842</v>
      </c>
      <c r="X46">
        <f t="shared" si="19"/>
        <v>6.7872465648442599</v>
      </c>
      <c r="Y46">
        <f t="shared" si="19"/>
        <v>12.389230658353382</v>
      </c>
      <c r="Z46">
        <f t="shared" si="19"/>
        <v>28.615869928402837</v>
      </c>
      <c r="AA46">
        <f t="shared" ref="AA46" si="23">$D$6*EXP(-($D$23-1)/2*AA$57-(($D$23-1)^2/4+$D$24)*$G46)*AA17</f>
        <v>66.186710983245803</v>
      </c>
      <c r="AB46">
        <f t="shared" si="21"/>
        <v>127.19230771019775</v>
      </c>
    </row>
    <row r="47" spans="6:28" x14ac:dyDescent="0.2">
      <c r="F47" s="2">
        <v>9</v>
      </c>
      <c r="G47">
        <f t="shared" si="4"/>
        <v>3.5958904109589045E-5</v>
      </c>
      <c r="H47">
        <f t="shared" si="5"/>
        <v>0</v>
      </c>
      <c r="I47">
        <f t="shared" si="21"/>
        <v>2.3584872886762199E-6</v>
      </c>
      <c r="J47">
        <f t="shared" si="21"/>
        <v>1.8317360272785466E-5</v>
      </c>
      <c r="K47">
        <f t="shared" si="21"/>
        <v>1.2739853980355808E-4</v>
      </c>
      <c r="L47">
        <f t="shared" si="21"/>
        <v>7.901797013688751E-4</v>
      </c>
      <c r="M47">
        <f t="shared" si="21"/>
        <v>4.2808028292588814E-3</v>
      </c>
      <c r="N47">
        <f t="shared" si="19"/>
        <v>1.9762116209599209E-2</v>
      </c>
      <c r="O47">
        <f t="shared" si="19"/>
        <v>7.5589612474545875E-2</v>
      </c>
      <c r="P47">
        <f t="shared" si="19"/>
        <v>0.23270976514588426</v>
      </c>
      <c r="Q47">
        <f t="shared" si="19"/>
        <v>0.56406634273113765</v>
      </c>
      <c r="R47">
        <f t="shared" si="19"/>
        <v>1.0802561819555165</v>
      </c>
      <c r="S47">
        <f t="shared" si="19"/>
        <v>1.7147640658773522</v>
      </c>
      <c r="T47">
        <f t="shared" si="19"/>
        <v>2.402136158342421</v>
      </c>
      <c r="U47">
        <f t="shared" si="19"/>
        <v>3.1122324523841889</v>
      </c>
      <c r="V47">
        <f t="shared" si="19"/>
        <v>3.8544718467116348</v>
      </c>
      <c r="W47">
        <f t="shared" si="19"/>
        <v>4.747976612651664</v>
      </c>
      <c r="X47">
        <f t="shared" si="19"/>
        <v>6.3972187690666589</v>
      </c>
      <c r="Y47">
        <f t="shared" si="19"/>
        <v>11.201111817872846</v>
      </c>
      <c r="Z47">
        <f t="shared" si="19"/>
        <v>26.126739794382512</v>
      </c>
      <c r="AA47">
        <f>$D$6*EXP(-($D$23-1)/2*AA$57-(($D$23-1)^2/4+$D$24)*$G47)*AA18</f>
        <v>63.393333890676651</v>
      </c>
      <c r="AB47">
        <f t="shared" si="21"/>
        <v>127.19434048021748</v>
      </c>
    </row>
    <row r="48" spans="6:28" x14ac:dyDescent="0.2">
      <c r="F48" s="2">
        <v>8</v>
      </c>
      <c r="G48">
        <f t="shared" si="4"/>
        <v>3.1963470319634704E-5</v>
      </c>
      <c r="H48">
        <f t="shared" si="5"/>
        <v>0</v>
      </c>
      <c r="I48">
        <f t="shared" si="21"/>
        <v>1.1448332101081822E-6</v>
      </c>
      <c r="J48">
        <f t="shared" si="21"/>
        <v>9.7124542346524936E-6</v>
      </c>
      <c r="K48">
        <f t="shared" si="21"/>
        <v>7.4206574968993234E-5</v>
      </c>
      <c r="L48">
        <f t="shared" si="21"/>
        <v>5.0687891733491798E-4</v>
      </c>
      <c r="M48">
        <f t="shared" si="21"/>
        <v>3.025688464073425E-3</v>
      </c>
      <c r="N48">
        <f t="shared" si="19"/>
        <v>1.5351706332398764E-2</v>
      </c>
      <c r="O48">
        <f t="shared" si="19"/>
        <v>6.4086685125053638E-2</v>
      </c>
      <c r="P48">
        <f t="shared" si="19"/>
        <v>0.2124750167079146</v>
      </c>
      <c r="Q48">
        <f t="shared" si="19"/>
        <v>0.54298893586075581</v>
      </c>
      <c r="R48">
        <f t="shared" si="19"/>
        <v>1.0680116201196641</v>
      </c>
      <c r="S48">
        <f t="shared" si="19"/>
        <v>1.710653178744638</v>
      </c>
      <c r="T48">
        <f t="shared" si="19"/>
        <v>2.4016464958014869</v>
      </c>
      <c r="U48">
        <f t="shared" si="19"/>
        <v>3.1110894879394491</v>
      </c>
      <c r="V48">
        <f t="shared" si="19"/>
        <v>3.8418567835182311</v>
      </c>
      <c r="W48">
        <f t="shared" si="19"/>
        <v>4.6740788212935742</v>
      </c>
      <c r="X48">
        <f t="shared" si="19"/>
        <v>6.0666821152421395</v>
      </c>
      <c r="Y48">
        <f t="shared" si="19"/>
        <v>10.07998487290911</v>
      </c>
      <c r="Z48">
        <f t="shared" si="19"/>
        <v>23.524456953949127</v>
      </c>
      <c r="AA48">
        <f t="shared" ref="AA48" si="24">$D$6*EXP(-($D$23-1)/2*AA$57-(($D$23-1)^2/4+$D$24)*$G48)*AA19</f>
        <v>60.199568128769904</v>
      </c>
      <c r="AB48">
        <f t="shared" si="21"/>
        <v>127.19637328272471</v>
      </c>
    </row>
    <row r="49" spans="3:28" x14ac:dyDescent="0.2">
      <c r="F49" s="2">
        <v>7</v>
      </c>
      <c r="G49">
        <f t="shared" si="4"/>
        <v>2.7968036529680364E-5</v>
      </c>
      <c r="H49">
        <f t="shared" si="5"/>
        <v>0</v>
      </c>
      <c r="I49">
        <f t="shared" si="21"/>
        <v>5.0293223427400618E-7</v>
      </c>
      <c r="J49">
        <f t="shared" si="21"/>
        <v>4.6973640905143431E-6</v>
      </c>
      <c r="K49">
        <f t="shared" si="21"/>
        <v>3.9797255886660302E-5</v>
      </c>
      <c r="L49">
        <f t="shared" si="21"/>
        <v>3.0277164762348275E-4</v>
      </c>
      <c r="M49">
        <f t="shared" si="21"/>
        <v>2.0177250122796028E-3</v>
      </c>
      <c r="N49">
        <f t="shared" si="19"/>
        <v>1.1417010332675963E-2</v>
      </c>
      <c r="O49">
        <f t="shared" si="19"/>
        <v>5.2810560522170438E-2</v>
      </c>
      <c r="P49">
        <f t="shared" si="19"/>
        <v>0.19124176465651704</v>
      </c>
      <c r="Q49">
        <f t="shared" si="19"/>
        <v>0.52069466253956342</v>
      </c>
      <c r="R49">
        <f t="shared" si="19"/>
        <v>1.0559301595024382</v>
      </c>
      <c r="S49">
        <f t="shared" si="19"/>
        <v>1.7071186043383595</v>
      </c>
      <c r="T49">
        <f t="shared" si="19"/>
        <v>2.4016213305920195</v>
      </c>
      <c r="U49">
        <f t="shared" si="19"/>
        <v>3.1110022614402091</v>
      </c>
      <c r="V49">
        <f t="shared" si="19"/>
        <v>3.8342937081712547</v>
      </c>
      <c r="W49">
        <f t="shared" si="19"/>
        <v>4.6212354829627724</v>
      </c>
      <c r="X49">
        <f t="shared" si="19"/>
        <v>5.7981202606745468</v>
      </c>
      <c r="Y49">
        <f t="shared" si="19"/>
        <v>9.0491654062902871</v>
      </c>
      <c r="Z49">
        <f t="shared" si="19"/>
        <v>20.827024723255217</v>
      </c>
      <c r="AA49">
        <f t="shared" ref="AA49" si="25">$D$6*EXP(-($D$23-1)/2*AA$57-(($D$23-1)^2/4+$D$24)*$G49)*AA20</f>
        <v>56.513014218086504</v>
      </c>
      <c r="AB49">
        <f t="shared" si="21"/>
        <v>127.19840611771986</v>
      </c>
    </row>
    <row r="50" spans="3:28" x14ac:dyDescent="0.2">
      <c r="F50" s="2">
        <v>6</v>
      </c>
      <c r="G50">
        <f t="shared" si="4"/>
        <v>2.3972602739726026E-5</v>
      </c>
      <c r="H50">
        <f t="shared" si="5"/>
        <v>0</v>
      </c>
      <c r="I50">
        <f t="shared" si="21"/>
        <v>1.9525286809751211E-7</v>
      </c>
      <c r="J50">
        <f t="shared" si="21"/>
        <v>2.0241947294687746E-6</v>
      </c>
      <c r="K50">
        <f t="shared" si="21"/>
        <v>1.921283864489979E-5</v>
      </c>
      <c r="L50">
        <f t="shared" si="21"/>
        <v>1.6492623614058327E-4</v>
      </c>
      <c r="M50">
        <f t="shared" si="21"/>
        <v>1.2467071448467851E-3</v>
      </c>
      <c r="N50">
        <f t="shared" si="19"/>
        <v>8.0134372717953727E-3</v>
      </c>
      <c r="O50">
        <f t="shared" si="19"/>
        <v>4.1893566633686249E-2</v>
      </c>
      <c r="P50">
        <f t="shared" si="19"/>
        <v>0.16887893689989805</v>
      </c>
      <c r="Q50">
        <f t="shared" si="19"/>
        <v>0.49697249653310699</v>
      </c>
      <c r="R50">
        <f t="shared" si="19"/>
        <v>1.0441529085551371</v>
      </c>
      <c r="S50">
        <f t="shared" si="19"/>
        <v>1.7042259412458138</v>
      </c>
      <c r="T50">
        <f t="shared" si="19"/>
        <v>2.4019867481906405</v>
      </c>
      <c r="U50">
        <f t="shared" si="19"/>
        <v>3.1116180026096334</v>
      </c>
      <c r="V50">
        <f t="shared" si="19"/>
        <v>3.8304490651876089</v>
      </c>
      <c r="W50">
        <f t="shared" si="19"/>
        <v>4.5862948859700809</v>
      </c>
      <c r="X50">
        <f t="shared" si="19"/>
        <v>5.5918216015321827</v>
      </c>
      <c r="Y50">
        <f t="shared" si="19"/>
        <v>8.1346002803734194</v>
      </c>
      <c r="Z50">
        <f t="shared" si="19"/>
        <v>18.06789255995886</v>
      </c>
      <c r="AA50">
        <f t="shared" ref="AA50" si="26">$D$6*EXP(-($D$23-1)/2*AA$57-(($D$23-1)^2/4+$D$24)*$G50)*AA21</f>
        <v>52.213260327980613</v>
      </c>
      <c r="AB50">
        <f t="shared" si="21"/>
        <v>127.20043898520352</v>
      </c>
    </row>
    <row r="51" spans="3:28" x14ac:dyDescent="0.2">
      <c r="F51" s="2">
        <v>5</v>
      </c>
      <c r="G51">
        <f t="shared" si="4"/>
        <v>1.9977168949771689E-5</v>
      </c>
      <c r="H51">
        <f t="shared" si="5"/>
        <v>0</v>
      </c>
      <c r="I51">
        <f t="shared" si="21"/>
        <v>6.4842098739561451E-8</v>
      </c>
      <c r="J51">
        <f t="shared" si="21"/>
        <v>7.5224239289917927E-7</v>
      </c>
      <c r="K51">
        <f t="shared" si="21"/>
        <v>8.085626122524907E-6</v>
      </c>
      <c r="L51">
        <f t="shared" si="21"/>
        <v>7.946247636220514E-5</v>
      </c>
      <c r="M51">
        <f t="shared" si="21"/>
        <v>6.9449413120883691E-4</v>
      </c>
      <c r="N51">
        <f t="shared" si="19"/>
        <v>5.1925779572786152E-3</v>
      </c>
      <c r="O51">
        <f t="shared" si="19"/>
        <v>3.1514802641024443E-2</v>
      </c>
      <c r="P51">
        <f t="shared" si="19"/>
        <v>0.14523130902973164</v>
      </c>
      <c r="Q51">
        <f t="shared" si="19"/>
        <v>0.47155203851393801</v>
      </c>
      <c r="R51">
        <f t="shared" si="19"/>
        <v>1.0328820017813765</v>
      </c>
      <c r="S51">
        <f t="shared" si="19"/>
        <v>1.7020440506131396</v>
      </c>
      <c r="T51">
        <f t="shared" si="19"/>
        <v>2.4026811209612218</v>
      </c>
      <c r="U51">
        <f t="shared" si="19"/>
        <v>3.1126655579585121</v>
      </c>
      <c r="V51">
        <f t="shared" si="19"/>
        <v>3.8291243323303017</v>
      </c>
      <c r="W51">
        <f t="shared" si="19"/>
        <v>4.5655934812332966</v>
      </c>
      <c r="X51">
        <f t="shared" si="19"/>
        <v>5.4451290982475653</v>
      </c>
      <c r="Y51">
        <f t="shared" si="19"/>
        <v>7.3633461070563992</v>
      </c>
      <c r="Z51">
        <f t="shared" si="19"/>
        <v>15.304149015531921</v>
      </c>
      <c r="AA51">
        <f t="shared" ref="AA51" si="27">$D$6*EXP(-($D$23-1)/2*AA$57-(($D$23-1)^2/4+$D$24)*$G51)*AA22</f>
        <v>47.141811380539416</v>
      </c>
      <c r="AB51">
        <f t="shared" si="21"/>
        <v>127.20247188517617</v>
      </c>
    </row>
    <row r="52" spans="3:28" x14ac:dyDescent="0.2">
      <c r="F52" s="2">
        <v>4</v>
      </c>
      <c r="G52">
        <f t="shared" si="4"/>
        <v>1.5981735159817352E-5</v>
      </c>
      <c r="H52">
        <f t="shared" si="5"/>
        <v>0</v>
      </c>
      <c r="I52">
        <f t="shared" si="21"/>
        <v>1.7582168726987443E-8</v>
      </c>
      <c r="J52">
        <f t="shared" si="21"/>
        <v>2.2997346228100035E-7</v>
      </c>
      <c r="K52">
        <f t="shared" si="21"/>
        <v>2.8288433943818429E-6</v>
      </c>
      <c r="L52">
        <f t="shared" si="21"/>
        <v>3.2319277578140601E-5</v>
      </c>
      <c r="M52">
        <f t="shared" si="21"/>
        <v>3.3394638127182087E-4</v>
      </c>
      <c r="N52">
        <f t="shared" si="19"/>
        <v>2.9950772752192901E-3</v>
      </c>
      <c r="O52">
        <f t="shared" si="19"/>
        <v>2.1917034085476805E-2</v>
      </c>
      <c r="P52">
        <f t="shared" si="19"/>
        <v>0.12011490068187891</v>
      </c>
      <c r="Q52">
        <f t="shared" si="19"/>
        <v>0.44408157888335781</v>
      </c>
      <c r="R52">
        <f t="shared" si="19"/>
        <v>1.0224065151164976</v>
      </c>
      <c r="S52">
        <f t="shared" si="19"/>
        <v>1.7006348287704551</v>
      </c>
      <c r="T52">
        <f t="shared" si="19"/>
        <v>2.4036480428000324</v>
      </c>
      <c r="U52">
        <f t="shared" si="19"/>
        <v>3.1139532834309924</v>
      </c>
      <c r="V52">
        <f t="shared" si="19"/>
        <v>3.8293304571838478</v>
      </c>
      <c r="W52">
        <f t="shared" si="19"/>
        <v>4.5552274548484331</v>
      </c>
      <c r="X52">
        <f t="shared" si="19"/>
        <v>5.3517707914339026</v>
      </c>
      <c r="Y52">
        <f t="shared" si="19"/>
        <v>6.7603949583994254</v>
      </c>
      <c r="Z52">
        <f t="shared" si="19"/>
        <v>12.628795998131375</v>
      </c>
      <c r="AA52">
        <f t="shared" ref="AA52" si="28">$D$6*EXP(-($D$23-1)/2*AA$57-(($D$23-1)^2/4+$D$24)*$G52)*AA23</f>
        <v>41.087966326622272</v>
      </c>
      <c r="AB52">
        <f t="shared" si="21"/>
        <v>127.20450481763838</v>
      </c>
    </row>
    <row r="53" spans="3:28" x14ac:dyDescent="0.2">
      <c r="F53" s="2">
        <v>3</v>
      </c>
      <c r="G53">
        <f t="shared" si="4"/>
        <v>1.1986301369863015E-5</v>
      </c>
      <c r="H53">
        <f t="shared" si="5"/>
        <v>0</v>
      </c>
      <c r="I53">
        <f t="shared" si="21"/>
        <v>3.6240351607680184E-9</v>
      </c>
      <c r="J53">
        <f t="shared" si="21"/>
        <v>5.3772437995280267E-8</v>
      </c>
      <c r="K53">
        <f t="shared" si="21"/>
        <v>7.6380479360407459E-7</v>
      </c>
      <c r="L53">
        <f t="shared" si="21"/>
        <v>1.0290506703339663E-5</v>
      </c>
      <c r="M53">
        <f t="shared" si="21"/>
        <v>1.2868593610098475E-4</v>
      </c>
      <c r="N53">
        <f t="shared" si="19"/>
        <v>1.4390625398348084E-3</v>
      </c>
      <c r="O53">
        <f t="shared" si="19"/>
        <v>1.3429967009751572E-2</v>
      </c>
      <c r="P53">
        <f t="shared" si="19"/>
        <v>9.3311945833801896E-2</v>
      </c>
      <c r="Q53">
        <f t="shared" si="19"/>
        <v>0.41409677347558888</v>
      </c>
      <c r="R53">
        <f t="shared" si="19"/>
        <v>1.013140593935401</v>
      </c>
      <c r="S53">
        <f t="shared" si="19"/>
        <v>1.7000368392293685</v>
      </c>
      <c r="T53">
        <f t="shared" si="19"/>
        <v>2.4048299688647528</v>
      </c>
      <c r="U53">
        <f t="shared" si="19"/>
        <v>3.1153590408613305</v>
      </c>
      <c r="V53">
        <f t="shared" si="19"/>
        <v>3.8303388956398798</v>
      </c>
      <c r="W53">
        <f t="shared" si="19"/>
        <v>4.5514511826641026</v>
      </c>
      <c r="X53">
        <f t="shared" si="19"/>
        <v>5.3015675335700116</v>
      </c>
      <c r="Y53">
        <f t="shared" si="19"/>
        <v>6.3427080388699801</v>
      </c>
      <c r="Z53">
        <f t="shared" si="19"/>
        <v>10.189135397370125</v>
      </c>
      <c r="AA53">
        <f t="shared" ref="AA53" si="29">$D$6*EXP(-($D$23-1)/2*AA$57-(($D$23-1)^2/4+$D$24)*$G53)*AA24</f>
        <v>33.768881751420558</v>
      </c>
      <c r="AB53">
        <f t="shared" si="21"/>
        <v>127.20653778259062</v>
      </c>
    </row>
    <row r="54" spans="3:28" x14ac:dyDescent="0.2">
      <c r="F54" s="2">
        <v>2</v>
      </c>
      <c r="G54">
        <f t="shared" si="4"/>
        <v>7.990867579908676E-6</v>
      </c>
      <c r="H54">
        <f t="shared" si="5"/>
        <v>0</v>
      </c>
      <c r="I54">
        <f t="shared" si="21"/>
        <v>5.0077687926848382E-10</v>
      </c>
      <c r="J54">
        <f t="shared" si="21"/>
        <v>8.4629996666698964E-9</v>
      </c>
      <c r="K54">
        <f t="shared" si="21"/>
        <v>1.3967873146172022E-7</v>
      </c>
      <c r="L54">
        <f t="shared" si="21"/>
        <v>2.242716098232712E-6</v>
      </c>
      <c r="M54">
        <f t="shared" si="21"/>
        <v>3.4607781057525693E-5</v>
      </c>
      <c r="N54">
        <f t="shared" si="19"/>
        <v>5.0177328387631011E-4</v>
      </c>
      <c r="O54">
        <f t="shared" si="19"/>
        <v>6.5023823546155402E-3</v>
      </c>
      <c r="P54">
        <f t="shared" si="19"/>
        <v>6.4565824617748138E-2</v>
      </c>
      <c r="Q54">
        <f t="shared" si="19"/>
        <v>0.3809754797560731</v>
      </c>
      <c r="R54">
        <f t="shared" si="19"/>
        <v>1.0056796628019504</v>
      </c>
      <c r="S54">
        <f t="shared" si="19"/>
        <v>1.700238900244895</v>
      </c>
      <c r="T54">
        <f t="shared" si="19"/>
        <v>2.4061647436003692</v>
      </c>
      <c r="U54">
        <f t="shared" si="19"/>
        <v>3.1168142606036375</v>
      </c>
      <c r="V54">
        <f t="shared" si="19"/>
        <v>3.8316905242566981</v>
      </c>
      <c r="W54">
        <f t="shared" si="19"/>
        <v>4.5511534940628806</v>
      </c>
      <c r="X54">
        <f t="shared" si="19"/>
        <v>5.2810915090278145</v>
      </c>
      <c r="Y54">
        <f t="shared" si="19"/>
        <v>6.1086228555585498</v>
      </c>
      <c r="Z54">
        <f t="shared" si="19"/>
        <v>8.2143232618578139</v>
      </c>
      <c r="AA54">
        <f t="shared" ref="AA54" si="30">$D$6*EXP(-($D$23-1)/2*AA$57-(($D$23-1)^2/4+$D$24)*$G54)*AA25</f>
        <v>24.801249932060234</v>
      </c>
      <c r="AB54">
        <f t="shared" si="21"/>
        <v>127.20857078003344</v>
      </c>
    </row>
    <row r="55" spans="3:28" x14ac:dyDescent="0.2">
      <c r="F55" s="2">
        <v>1</v>
      </c>
      <c r="G55">
        <f>G56+$D$19</f>
        <v>3.995433789954338E-6</v>
      </c>
      <c r="H55">
        <f t="shared" si="5"/>
        <v>0</v>
      </c>
      <c r="I55">
        <f t="shared" si="21"/>
        <v>3.4505977002103918E-11</v>
      </c>
      <c r="J55">
        <f t="shared" si="21"/>
        <v>6.6518760830240686E-10</v>
      </c>
      <c r="K55">
        <f t="shared" si="21"/>
        <v>1.2787806760458995E-8</v>
      </c>
      <c r="L55">
        <f t="shared" si="21"/>
        <v>2.4583553891167686E-7</v>
      </c>
      <c r="M55">
        <f t="shared" si="21"/>
        <v>4.7259950081366957E-6</v>
      </c>
      <c r="N55">
        <f t="shared" si="19"/>
        <v>9.0853539380448243E-5</v>
      </c>
      <c r="O55">
        <f t="shared" si="19"/>
        <v>1.7465878833434793E-3</v>
      </c>
      <c r="P55">
        <f t="shared" si="19"/>
        <v>3.3576779232210516E-2</v>
      </c>
      <c r="Q55">
        <f t="shared" si="19"/>
        <v>0.34387207048105151</v>
      </c>
      <c r="R55">
        <f t="shared" si="19"/>
        <v>1.0008835623993735</v>
      </c>
      <c r="S55">
        <f t="shared" si="19"/>
        <v>1.7011373538407444</v>
      </c>
      <c r="T55">
        <f t="shared" si="19"/>
        <v>2.4075880721856229</v>
      </c>
      <c r="U55">
        <f t="shared" si="19"/>
        <v>3.1182860829512249</v>
      </c>
      <c r="V55">
        <f t="shared" si="19"/>
        <v>3.8331525087663922</v>
      </c>
      <c r="W55">
        <f t="shared" si="19"/>
        <v>4.5522447182302104</v>
      </c>
      <c r="X55">
        <f t="shared" si="19"/>
        <v>5.2763291625976478</v>
      </c>
      <c r="Y55">
        <f t="shared" si="19"/>
        <v>6.0196996817713977</v>
      </c>
      <c r="Z55">
        <f t="shared" si="19"/>
        <v>7.0566955089751628</v>
      </c>
      <c r="AA55">
        <f t="shared" ref="AA55" si="31">$D$6*EXP(-($D$23-1)/2*AA$57-(($D$23-1)^2/4+$D$24)*$G55)*AA26</f>
        <v>13.660821251476612</v>
      </c>
      <c r="AB55">
        <f t="shared" si="21"/>
        <v>127.21060380996732</v>
      </c>
    </row>
    <row r="56" spans="3:28" x14ac:dyDescent="0.2">
      <c r="F56" s="2">
        <v>0</v>
      </c>
      <c r="G56">
        <v>0</v>
      </c>
      <c r="H56">
        <f>$D$6*EXP(-($D$23-1)/2*H$57-(($D$23-1)^2/4+$D$4)*$G56)*H27</f>
        <v>0</v>
      </c>
      <c r="I56">
        <f>$D$6*EXP(-($D$23-1)/2*I$57-(($D$23-1)^2/4+$D$24)*$G56)*I27</f>
        <v>0</v>
      </c>
      <c r="J56">
        <f t="shared" si="21"/>
        <v>0</v>
      </c>
      <c r="K56">
        <f t="shared" si="21"/>
        <v>0</v>
      </c>
      <c r="L56">
        <f t="shared" si="21"/>
        <v>0</v>
      </c>
      <c r="M56">
        <f t="shared" si="21"/>
        <v>0</v>
      </c>
      <c r="N56">
        <f t="shared" ref="N56:Z56" si="32">$D$6*EXP(-($D$23-1)/2*N$57-(($D$23-1)^2/4+$D$24)*$G56)*N27</f>
        <v>0</v>
      </c>
      <c r="O56">
        <f t="shared" si="32"/>
        <v>0</v>
      </c>
      <c r="P56">
        <f t="shared" si="32"/>
        <v>0</v>
      </c>
      <c r="Q56">
        <f t="shared" si="32"/>
        <v>0.30162114425168285</v>
      </c>
      <c r="R56">
        <f t="shared" si="32"/>
        <v>0.99999999999999512</v>
      </c>
      <c r="S56">
        <f t="shared" si="32"/>
        <v>1.7024670904384847</v>
      </c>
      <c r="T56">
        <f t="shared" si="32"/>
        <v>2.4090463476532245</v>
      </c>
      <c r="U56">
        <f t="shared" si="32"/>
        <v>3.1197618438261259</v>
      </c>
      <c r="V56">
        <f t="shared" si="32"/>
        <v>3.8346377920550543</v>
      </c>
      <c r="W56">
        <f t="shared" si="32"/>
        <v>4.5536985471788149</v>
      </c>
      <c r="X56">
        <f t="shared" si="32"/>
        <v>5.2769686066067463</v>
      </c>
      <c r="Y56">
        <f t="shared" si="32"/>
        <v>6.0044726111533935</v>
      </c>
      <c r="Z56">
        <f t="shared" si="32"/>
        <v>6.7362353458780184</v>
      </c>
      <c r="AA56">
        <f t="shared" si="21"/>
        <v>7.4722817409289348</v>
      </c>
      <c r="AB56">
        <f t="shared" si="21"/>
        <v>8.2126368723928103</v>
      </c>
    </row>
    <row r="57" spans="3:28" x14ac:dyDescent="0.2">
      <c r="G57" s="6" t="s">
        <v>24</v>
      </c>
      <c r="H57">
        <v>-0.05</v>
      </c>
      <c r="I57">
        <v>-4.4163175032948344E-2</v>
      </c>
      <c r="J57">
        <v>-3.8326350065896686E-2</v>
      </c>
      <c r="K57">
        <v>-3.2489525098845028E-2</v>
      </c>
      <c r="L57">
        <v>-2.6652700131793369E-2</v>
      </c>
      <c r="M57">
        <v>-2.0815875164741711E-2</v>
      </c>
      <c r="N57">
        <v>-1.4979050197690053E-2</v>
      </c>
      <c r="O57">
        <v>-9.1422252306383942E-3</v>
      </c>
      <c r="P57">
        <v>-3.3054002635867358E-3</v>
      </c>
      <c r="Q57">
        <v>2.5314247034649226E-3</v>
      </c>
      <c r="R57" s="3">
        <v>8.368249670516581E-3</v>
      </c>
      <c r="S57">
        <v>1.4205074637568239E-2</v>
      </c>
      <c r="T57">
        <v>2.0041899604619898E-2</v>
      </c>
      <c r="U57">
        <v>2.5878724571671556E-2</v>
      </c>
      <c r="V57">
        <v>3.1715549538723214E-2</v>
      </c>
      <c r="W57">
        <v>3.7552374505774873E-2</v>
      </c>
      <c r="X57">
        <v>4.3389199472826531E-2</v>
      </c>
      <c r="Y57">
        <v>4.922602443987819E-2</v>
      </c>
      <c r="Z57">
        <v>5.5062849406929848E-2</v>
      </c>
      <c r="AA57">
        <v>6.0899674373981506E-2</v>
      </c>
      <c r="AB57">
        <v>6.6736499341033165E-2</v>
      </c>
    </row>
    <row r="60" spans="3:28" x14ac:dyDescent="0.2">
      <c r="C60" s="7"/>
      <c r="F60" t="s">
        <v>9</v>
      </c>
      <c r="G60" t="s">
        <v>34</v>
      </c>
    </row>
    <row r="61" spans="3:28" x14ac:dyDescent="0.2">
      <c r="C61" t="s">
        <v>35</v>
      </c>
      <c r="D61">
        <v>0.02</v>
      </c>
      <c r="F61">
        <v>-1</v>
      </c>
      <c r="G61">
        <v>6.2278960035473396E-3</v>
      </c>
    </row>
    <row r="62" spans="3:28" x14ac:dyDescent="0.2">
      <c r="C62" t="s">
        <v>36</v>
      </c>
      <c r="D62">
        <v>-1</v>
      </c>
      <c r="F62">
        <f>F61+$D$61</f>
        <v>-0.98</v>
      </c>
      <c r="G62">
        <v>6.1043802187863427E-3</v>
      </c>
    </row>
    <row r="63" spans="3:28" x14ac:dyDescent="0.2">
      <c r="C63" t="s">
        <v>37</v>
      </c>
      <c r="D63">
        <v>1</v>
      </c>
      <c r="F63">
        <f t="shared" ref="F63:F126" si="33">F62+$D$61</f>
        <v>-0.96</v>
      </c>
      <c r="G63">
        <v>5.9871745205166693E-3</v>
      </c>
    </row>
    <row r="64" spans="3:28" x14ac:dyDescent="0.2">
      <c r="F64">
        <f t="shared" si="33"/>
        <v>-0.94</v>
      </c>
      <c r="G64">
        <v>5.8761883211913002E-3</v>
      </c>
    </row>
    <row r="65" spans="6:7" x14ac:dyDescent="0.2">
      <c r="F65">
        <f t="shared" si="33"/>
        <v>-0.91999999999999993</v>
      </c>
      <c r="G65">
        <v>5.7713344530074817E-3</v>
      </c>
    </row>
    <row r="66" spans="6:7" x14ac:dyDescent="0.2">
      <c r="F66">
        <f t="shared" si="33"/>
        <v>-0.89999999999999991</v>
      </c>
      <c r="G66">
        <v>5.6725290623957925E-3</v>
      </c>
    </row>
    <row r="67" spans="6:7" x14ac:dyDescent="0.2">
      <c r="F67">
        <f t="shared" si="33"/>
        <v>-0.87999999999999989</v>
      </c>
      <c r="G67">
        <v>5.5796915020231985E-3</v>
      </c>
    </row>
    <row r="68" spans="6:7" x14ac:dyDescent="0.2">
      <c r="F68">
        <f t="shared" si="33"/>
        <v>-0.85999999999999988</v>
      </c>
      <c r="G68">
        <v>5.4927442210637167E-3</v>
      </c>
    </row>
    <row r="69" spans="6:7" x14ac:dyDescent="0.2">
      <c r="F69">
        <f t="shared" si="33"/>
        <v>-0.83999999999999986</v>
      </c>
      <c r="G69">
        <v>5.4116126540968423E-3</v>
      </c>
    </row>
    <row r="70" spans="6:7" x14ac:dyDescent="0.2">
      <c r="F70">
        <f t="shared" si="33"/>
        <v>-0.81999999999999984</v>
      </c>
      <c r="G70">
        <v>5.33622510933629E-3</v>
      </c>
    </row>
    <row r="71" spans="6:7" x14ac:dyDescent="0.2">
      <c r="F71">
        <f t="shared" si="33"/>
        <v>-0.79999999999999982</v>
      </c>
      <c r="G71">
        <v>5.2665126567004172E-3</v>
      </c>
    </row>
    <row r="72" spans="6:7" x14ac:dyDescent="0.2">
      <c r="F72">
        <f t="shared" si="33"/>
        <v>-0.7799999999999998</v>
      </c>
      <c r="G72">
        <v>5.202409016173748E-3</v>
      </c>
    </row>
    <row r="73" spans="6:7" x14ac:dyDescent="0.2">
      <c r="F73">
        <f t="shared" si="33"/>
        <v>-0.75999999999999979</v>
      </c>
      <c r="G73">
        <v>5.1438504470109336E-3</v>
      </c>
    </row>
    <row r="74" spans="6:7" x14ac:dyDescent="0.2">
      <c r="F74">
        <f t="shared" si="33"/>
        <v>-0.73999999999999977</v>
      </c>
      <c r="G74">
        <v>5.0907756382125857E-3</v>
      </c>
    </row>
    <row r="75" spans="6:7" x14ac:dyDescent="0.2">
      <c r="F75">
        <f t="shared" si="33"/>
        <v>-0.71999999999999975</v>
      </c>
      <c r="G75">
        <v>5.0431256006642222E-3</v>
      </c>
    </row>
    <row r="76" spans="6:7" x14ac:dyDescent="0.2">
      <c r="F76">
        <f t="shared" si="33"/>
        <v>-0.69999999999999973</v>
      </c>
      <c r="G76">
        <v>5.0008435613653202E-3</v>
      </c>
    </row>
    <row r="77" spans="6:7" x14ac:dyDescent="0.2">
      <c r="F77">
        <f t="shared" si="33"/>
        <v>-0.67999999999999972</v>
      </c>
      <c r="G77">
        <v>4.9638748600220328E-3</v>
      </c>
    </row>
    <row r="78" spans="6:7" x14ac:dyDescent="0.2">
      <c r="F78">
        <f t="shared" si="33"/>
        <v>-0.6599999999999997</v>
      </c>
      <c r="G78">
        <v>4.9321668483410797E-3</v>
      </c>
    </row>
    <row r="79" spans="6:7" x14ac:dyDescent="0.2">
      <c r="F79">
        <f t="shared" si="33"/>
        <v>-0.63999999999999968</v>
      </c>
      <c r="G79">
        <v>4.9056687922046649E-3</v>
      </c>
    </row>
    <row r="80" spans="6:7" x14ac:dyDescent="0.2">
      <c r="F80">
        <f t="shared" si="33"/>
        <v>-0.61999999999999966</v>
      </c>
      <c r="G80">
        <v>4.8843317770941308E-3</v>
      </c>
    </row>
    <row r="81" spans="6:7" x14ac:dyDescent="0.2">
      <c r="F81">
        <f t="shared" si="33"/>
        <v>-0.59999999999999964</v>
      </c>
      <c r="G81">
        <v>4.8681086166064702E-3</v>
      </c>
    </row>
    <row r="82" spans="6:7" x14ac:dyDescent="0.2">
      <c r="F82">
        <f t="shared" si="33"/>
        <v>-0.57999999999999963</v>
      </c>
      <c r="G82">
        <v>4.8569537646558913E-3</v>
      </c>
    </row>
    <row r="83" spans="6:7" x14ac:dyDescent="0.2">
      <c r="F83">
        <f t="shared" si="33"/>
        <v>-0.55999999999999961</v>
      </c>
      <c r="G83">
        <v>4.850823230913015E-3</v>
      </c>
    </row>
    <row r="84" spans="6:7" x14ac:dyDescent="0.2">
      <c r="F84">
        <f t="shared" si="33"/>
        <v>-0.53999999999999959</v>
      </c>
      <c r="G84">
        <v>4.8496745000219388E-3</v>
      </c>
    </row>
    <row r="85" spans="6:7" x14ac:dyDescent="0.2">
      <c r="F85">
        <f t="shared" si="33"/>
        <v>-0.51999999999999957</v>
      </c>
      <c r="G85">
        <v>4.8534664543091743E-3</v>
      </c>
    </row>
    <row r="86" spans="6:7" x14ac:dyDescent="0.2">
      <c r="F86">
        <f t="shared" si="33"/>
        <v>-0.49999999999999956</v>
      </c>
      <c r="G86">
        <v>4.8621593000681695E-3</v>
      </c>
    </row>
    <row r="87" spans="6:7" x14ac:dyDescent="0.2">
      <c r="F87">
        <f t="shared" si="33"/>
        <v>-0.47999999999999954</v>
      </c>
      <c r="G87">
        <v>4.8757144974389544E-3</v>
      </c>
    </row>
    <row r="88" spans="6:7" x14ac:dyDescent="0.2">
      <c r="F88">
        <f t="shared" si="33"/>
        <v>-0.45999999999999952</v>
      </c>
      <c r="G88">
        <v>4.8940946937285901E-3</v>
      </c>
    </row>
    <row r="89" spans="6:7" x14ac:dyDescent="0.2">
      <c r="F89">
        <f t="shared" si="33"/>
        <v>-0.4399999999999995</v>
      </c>
      <c r="G89">
        <v>4.9172636602516917E-3</v>
      </c>
    </row>
    <row r="90" spans="6:7" x14ac:dyDescent="0.2">
      <c r="F90">
        <f t="shared" si="33"/>
        <v>-0.41999999999999948</v>
      </c>
      <c r="G90">
        <v>4.9451862324574325E-3</v>
      </c>
    </row>
    <row r="91" spans="6:7" x14ac:dyDescent="0.2">
      <c r="F91">
        <f t="shared" si="33"/>
        <v>-0.39999999999999947</v>
      </c>
      <c r="G91">
        <v>4.977828253294847E-3</v>
      </c>
    </row>
    <row r="92" spans="6:7" x14ac:dyDescent="0.2">
      <c r="F92">
        <f t="shared" si="33"/>
        <v>-0.37999999999999945</v>
      </c>
      <c r="G92">
        <v>5.015156519758257E-3</v>
      </c>
    </row>
    <row r="93" spans="6:7" x14ac:dyDescent="0.2">
      <c r="F93">
        <f t="shared" si="33"/>
        <v>-0.35999999999999943</v>
      </c>
      <c r="G93">
        <v>5.0571387324436223E-3</v>
      </c>
    </row>
    <row r="94" spans="6:7" x14ac:dyDescent="0.2">
      <c r="F94">
        <f t="shared" si="33"/>
        <v>-0.33999999999999941</v>
      </c>
      <c r="G94">
        <v>5.103743447980591E-3</v>
      </c>
    </row>
    <row r="95" spans="6:7" x14ac:dyDescent="0.2">
      <c r="F95">
        <f t="shared" si="33"/>
        <v>-0.3199999999999994</v>
      </c>
      <c r="G95">
        <v>5.154940034292288E-3</v>
      </c>
    </row>
    <row r="96" spans="6:7" x14ac:dyDescent="0.2">
      <c r="F96">
        <f t="shared" si="33"/>
        <v>-0.29999999999999938</v>
      </c>
      <c r="G96">
        <v>5.2106986284665702E-3</v>
      </c>
    </row>
    <row r="97" spans="6:7" x14ac:dyDescent="0.2">
      <c r="F97">
        <f t="shared" si="33"/>
        <v>-0.27999999999999936</v>
      </c>
      <c r="G97">
        <v>5.2709900971454893E-3</v>
      </c>
    </row>
    <row r="98" spans="6:7" x14ac:dyDescent="0.2">
      <c r="F98">
        <f t="shared" si="33"/>
        <v>-0.25999999999999934</v>
      </c>
      <c r="G98">
        <v>5.3357859992972934E-3</v>
      </c>
    </row>
    <row r="99" spans="6:7" x14ac:dyDescent="0.2">
      <c r="F99">
        <f t="shared" si="33"/>
        <v>-0.23999999999999935</v>
      </c>
      <c r="G99">
        <v>5.4050585513125693E-3</v>
      </c>
    </row>
    <row r="100" spans="6:7" x14ac:dyDescent="0.2">
      <c r="F100">
        <f t="shared" si="33"/>
        <v>-0.21999999999999936</v>
      </c>
      <c r="G100">
        <v>5.4787805941602929E-3</v>
      </c>
    </row>
    <row r="101" spans="6:7" x14ac:dyDescent="0.2">
      <c r="F101">
        <f t="shared" si="33"/>
        <v>-0.19999999999999937</v>
      </c>
      <c r="G101">
        <v>5.5569255626159997E-3</v>
      </c>
    </row>
    <row r="102" spans="6:7" x14ac:dyDescent="0.2">
      <c r="F102">
        <f t="shared" si="33"/>
        <v>-0.17999999999999938</v>
      </c>
      <c r="G102">
        <v>5.6394674563682301E-3</v>
      </c>
    </row>
    <row r="103" spans="6:7" x14ac:dyDescent="0.2">
      <c r="F103">
        <f t="shared" si="33"/>
        <v>-0.15999999999999939</v>
      </c>
      <c r="G103">
        <v>5.7263808129346394E-3</v>
      </c>
    </row>
    <row r="104" spans="6:7" x14ac:dyDescent="0.2">
      <c r="F104">
        <f t="shared" si="33"/>
        <v>-0.1399999999999994</v>
      </c>
      <c r="G104">
        <v>5.8176406822139093E-3</v>
      </c>
    </row>
    <row r="105" spans="6:7" x14ac:dyDescent="0.2">
      <c r="F105">
        <f t="shared" si="33"/>
        <v>-0.1199999999999994</v>
      </c>
      <c r="G105">
        <v>5.9132226026992196E-3</v>
      </c>
    </row>
    <row r="106" spans="6:7" x14ac:dyDescent="0.2">
      <c r="F106">
        <f t="shared" si="33"/>
        <v>-9.9999999999999395E-2</v>
      </c>
      <c r="G106">
        <v>6.0131025790226555E-3</v>
      </c>
    </row>
    <row r="107" spans="6:7" x14ac:dyDescent="0.2">
      <c r="F107">
        <f t="shared" si="33"/>
        <v>-7.9999999999999391E-2</v>
      </c>
      <c r="G107">
        <v>6.1172570610690258E-3</v>
      </c>
    </row>
    <row r="108" spans="6:7" x14ac:dyDescent="0.2">
      <c r="F108">
        <f t="shared" si="33"/>
        <v>-5.9999999999999387E-2</v>
      </c>
      <c r="G108">
        <v>6.2256629242021244E-3</v>
      </c>
    </row>
    <row r="109" spans="6:7" x14ac:dyDescent="0.2">
      <c r="F109">
        <f t="shared" si="33"/>
        <v>-3.9999999999999383E-2</v>
      </c>
      <c r="G109">
        <v>6.3382974508630063E-3</v>
      </c>
    </row>
    <row r="110" spans="6:7" x14ac:dyDescent="0.2">
      <c r="F110">
        <f t="shared" si="33"/>
        <v>-1.9999999999999383E-2</v>
      </c>
      <c r="G110">
        <v>6.4551383131117301E-3</v>
      </c>
    </row>
    <row r="111" spans="6:7" x14ac:dyDescent="0.2">
      <c r="F111">
        <f t="shared" si="33"/>
        <v>6.1756155744774333E-16</v>
      </c>
      <c r="G111">
        <v>6.5761635564671739E-3</v>
      </c>
    </row>
    <row r="112" spans="6:7" x14ac:dyDescent="0.2">
      <c r="F112">
        <f t="shared" si="33"/>
        <v>2.0000000000000618E-2</v>
      </c>
      <c r="G112">
        <v>6.7013515844671634E-3</v>
      </c>
    </row>
    <row r="113" spans="6:7" x14ac:dyDescent="0.2">
      <c r="F113">
        <f t="shared" si="33"/>
        <v>4.0000000000000618E-2</v>
      </c>
      <c r="G113">
        <v>6.8306811443308302E-3</v>
      </c>
    </row>
    <row r="114" spans="6:7" x14ac:dyDescent="0.2">
      <c r="F114">
        <f t="shared" si="33"/>
        <v>6.0000000000000622E-2</v>
      </c>
      <c r="G114">
        <v>6.9641313134169991E-3</v>
      </c>
    </row>
    <row r="115" spans="6:7" x14ac:dyDescent="0.2">
      <c r="F115">
        <f t="shared" si="33"/>
        <v>8.0000000000000626E-2</v>
      </c>
      <c r="G115">
        <v>7.1016814864499622E-3</v>
      </c>
    </row>
    <row r="116" spans="6:7" x14ac:dyDescent="0.2">
      <c r="F116">
        <f t="shared" si="33"/>
        <v>0.10000000000000063</v>
      </c>
      <c r="G116">
        <v>7.2433113635703705E-3</v>
      </c>
    </row>
    <row r="117" spans="6:7" x14ac:dyDescent="0.2">
      <c r="F117">
        <f t="shared" si="33"/>
        <v>0.12000000000000063</v>
      </c>
      <c r="G117">
        <v>7.389000938961221E-3</v>
      </c>
    </row>
    <row r="118" spans="6:7" x14ac:dyDescent="0.2">
      <c r="F118">
        <f t="shared" si="33"/>
        <v>0.14000000000000062</v>
      </c>
      <c r="G118">
        <v>7.5387304902585495E-3</v>
      </c>
    </row>
    <row r="119" spans="6:7" x14ac:dyDescent="0.2">
      <c r="F119">
        <f t="shared" si="33"/>
        <v>0.16000000000000061</v>
      </c>
      <c r="G119">
        <v>7.6924805684215336E-3</v>
      </c>
    </row>
    <row r="120" spans="6:7" x14ac:dyDescent="0.2">
      <c r="F120">
        <f t="shared" si="33"/>
        <v>0.1800000000000006</v>
      </c>
      <c r="G120">
        <v>7.850231988284051E-3</v>
      </c>
    </row>
    <row r="121" spans="6:7" x14ac:dyDescent="0.2">
      <c r="F121">
        <f t="shared" si="33"/>
        <v>0.20000000000000059</v>
      </c>
      <c r="G121">
        <v>8.0119658195925147E-3</v>
      </c>
    </row>
    <row r="122" spans="6:7" x14ac:dyDescent="0.2">
      <c r="F122">
        <f t="shared" si="33"/>
        <v>0.22000000000000058</v>
      </c>
      <c r="G122">
        <v>8.177663378436284E-3</v>
      </c>
    </row>
    <row r="123" spans="6:7" x14ac:dyDescent="0.2">
      <c r="F123">
        <f t="shared" si="33"/>
        <v>0.24000000000000057</v>
      </c>
      <c r="G123">
        <v>8.3473062193106795E-3</v>
      </c>
    </row>
    <row r="124" spans="6:7" x14ac:dyDescent="0.2">
      <c r="F124">
        <f t="shared" si="33"/>
        <v>0.26000000000000056</v>
      </c>
      <c r="G124">
        <v>8.5208761274335743E-3</v>
      </c>
    </row>
    <row r="125" spans="6:7" x14ac:dyDescent="0.2">
      <c r="F125">
        <f t="shared" si="33"/>
        <v>0.28000000000000058</v>
      </c>
      <c r="G125">
        <v>8.698355111610212E-3</v>
      </c>
    </row>
    <row r="126" spans="6:7" x14ac:dyDescent="0.2">
      <c r="F126">
        <f t="shared" si="33"/>
        <v>0.3000000000000006</v>
      </c>
      <c r="G126">
        <v>8.879725397291871E-3</v>
      </c>
    </row>
    <row r="127" spans="6:7" x14ac:dyDescent="0.2">
      <c r="F127">
        <f t="shared" ref="F127:F161" si="34">F126+$D$61</f>
        <v>0.32000000000000062</v>
      </c>
      <c r="G127">
        <v>9.0649694201696551E-3</v>
      </c>
    </row>
    <row r="128" spans="6:7" x14ac:dyDescent="0.2">
      <c r="F128">
        <f t="shared" si="34"/>
        <v>0.34000000000000064</v>
      </c>
      <c r="G128">
        <v>9.2540698199379268E-3</v>
      </c>
    </row>
    <row r="129" spans="6:7" x14ac:dyDescent="0.2">
      <c r="F129">
        <f t="shared" si="34"/>
        <v>0.36000000000000065</v>
      </c>
      <c r="G129">
        <v>9.4470094344476507E-3</v>
      </c>
    </row>
    <row r="130" spans="6:7" x14ac:dyDescent="0.2">
      <c r="F130">
        <f t="shared" si="34"/>
        <v>0.38000000000000067</v>
      </c>
      <c r="G130">
        <v>9.6437712940851128E-3</v>
      </c>
    </row>
    <row r="131" spans="6:7" x14ac:dyDescent="0.2">
      <c r="F131">
        <f t="shared" si="34"/>
        <v>0.40000000000000069</v>
      </c>
      <c r="G131">
        <v>9.844338616516124E-3</v>
      </c>
    </row>
    <row r="132" spans="6:7" x14ac:dyDescent="0.2">
      <c r="F132">
        <f t="shared" si="34"/>
        <v>0.42000000000000071</v>
      </c>
      <c r="G132">
        <v>1.0048694801455982E-2</v>
      </c>
    </row>
    <row r="133" spans="6:7" x14ac:dyDescent="0.2">
      <c r="F133">
        <f t="shared" si="34"/>
        <v>0.44000000000000072</v>
      </c>
      <c r="G133">
        <v>1.0256823425993211E-2</v>
      </c>
    </row>
    <row r="134" spans="6:7" x14ac:dyDescent="0.2">
      <c r="F134">
        <f t="shared" si="34"/>
        <v>0.46000000000000074</v>
      </c>
      <c r="G134">
        <v>1.0468708239817381E-2</v>
      </c>
    </row>
    <row r="135" spans="6:7" x14ac:dyDescent="0.2">
      <c r="F135">
        <f t="shared" si="34"/>
        <v>0.48000000000000076</v>
      </c>
      <c r="G135">
        <v>1.068433316087547E-2</v>
      </c>
    </row>
    <row r="136" spans="6:7" x14ac:dyDescent="0.2">
      <c r="F136">
        <f t="shared" si="34"/>
        <v>0.50000000000000078</v>
      </c>
      <c r="G136">
        <v>1.0903682271018011E-2</v>
      </c>
    </row>
    <row r="137" spans="6:7" x14ac:dyDescent="0.2">
      <c r="F137">
        <f t="shared" si="34"/>
        <v>0.52000000000000079</v>
      </c>
      <c r="G137">
        <v>1.1126739812100217E-2</v>
      </c>
    </row>
    <row r="138" spans="6:7" x14ac:dyDescent="0.2">
      <c r="F138">
        <f t="shared" si="34"/>
        <v>0.54000000000000081</v>
      </c>
      <c r="G138">
        <v>1.1353490181917225E-2</v>
      </c>
    </row>
    <row r="139" spans="6:7" x14ac:dyDescent="0.2">
      <c r="F139">
        <f t="shared" si="34"/>
        <v>0.56000000000000083</v>
      </c>
      <c r="G139">
        <v>1.1583917930579224E-2</v>
      </c>
    </row>
    <row r="140" spans="6:7" x14ac:dyDescent="0.2">
      <c r="F140">
        <f t="shared" si="34"/>
        <v>0.58000000000000085</v>
      </c>
      <c r="G140">
        <v>1.1818007756872362E-2</v>
      </c>
    </row>
    <row r="141" spans="6:7" x14ac:dyDescent="0.2">
      <c r="F141">
        <f t="shared" si="34"/>
        <v>0.60000000000000087</v>
      </c>
      <c r="G141">
        <v>1.2055744504848587E-2</v>
      </c>
    </row>
    <row r="142" spans="6:7" x14ac:dyDescent="0.2">
      <c r="F142">
        <f t="shared" si="34"/>
        <v>0.62000000000000088</v>
      </c>
      <c r="G142">
        <v>1.229711316043991E-2</v>
      </c>
    </row>
    <row r="143" spans="6:7" x14ac:dyDescent="0.2">
      <c r="F143">
        <f t="shared" si="34"/>
        <v>0.6400000000000009</v>
      </c>
      <c r="G143">
        <v>1.2542098848360661E-2</v>
      </c>
    </row>
    <row r="144" spans="6:7" x14ac:dyDescent="0.2">
      <c r="F144">
        <f t="shared" si="34"/>
        <v>0.66000000000000092</v>
      </c>
      <c r="G144">
        <v>1.2790686828956899E-2</v>
      </c>
    </row>
    <row r="145" spans="6:7" x14ac:dyDescent="0.2">
      <c r="F145">
        <f t="shared" si="34"/>
        <v>0.68000000000000094</v>
      </c>
      <c r="G145">
        <v>1.304286249529496E-2</v>
      </c>
    </row>
    <row r="146" spans="6:7" x14ac:dyDescent="0.2">
      <c r="F146">
        <f t="shared" si="34"/>
        <v>0.70000000000000095</v>
      </c>
      <c r="G146">
        <v>1.3298611370285762E-2</v>
      </c>
    </row>
    <row r="147" spans="6:7" x14ac:dyDescent="0.2">
      <c r="F147">
        <f t="shared" si="34"/>
        <v>0.72000000000000097</v>
      </c>
      <c r="G147">
        <v>1.3557919103916349E-2</v>
      </c>
    </row>
    <row r="148" spans="6:7" x14ac:dyDescent="0.2">
      <c r="F148">
        <f t="shared" si="34"/>
        <v>0.74000000000000099</v>
      </c>
      <c r="G148">
        <v>1.3820771470625326E-2</v>
      </c>
    </row>
    <row r="149" spans="6:7" x14ac:dyDescent="0.2">
      <c r="F149">
        <f t="shared" si="34"/>
        <v>0.76000000000000101</v>
      </c>
      <c r="G149">
        <v>1.4087154366698051E-2</v>
      </c>
    </row>
    <row r="150" spans="6:7" x14ac:dyDescent="0.2">
      <c r="F150">
        <f t="shared" si="34"/>
        <v>0.78000000000000103</v>
      </c>
      <c r="G150">
        <v>1.4357053807793951E-2</v>
      </c>
    </row>
    <row r="151" spans="6:7" x14ac:dyDescent="0.2">
      <c r="F151">
        <f t="shared" si="34"/>
        <v>0.80000000000000104</v>
      </c>
      <c r="G151">
        <v>1.4630455926564423E-2</v>
      </c>
    </row>
    <row r="152" spans="6:7" x14ac:dyDescent="0.2">
      <c r="F152">
        <f t="shared" si="34"/>
        <v>0.82000000000000106</v>
      </c>
      <c r="G152">
        <v>1.4907346970285618E-2</v>
      </c>
    </row>
    <row r="153" spans="6:7" x14ac:dyDescent="0.2">
      <c r="F153">
        <f t="shared" si="34"/>
        <v>0.84000000000000108</v>
      </c>
      <c r="G153">
        <v>1.5187713298651984E-2</v>
      </c>
    </row>
    <row r="154" spans="6:7" x14ac:dyDescent="0.2">
      <c r="F154">
        <f t="shared" si="34"/>
        <v>0.8600000000000011</v>
      </c>
      <c r="G154">
        <v>1.5471541381521625E-2</v>
      </c>
    </row>
    <row r="155" spans="6:7" x14ac:dyDescent="0.2">
      <c r="F155">
        <f t="shared" si="34"/>
        <v>0.88000000000000111</v>
      </c>
      <c r="G155">
        <v>1.5758817796898361E-2</v>
      </c>
    </row>
    <row r="156" spans="6:7" x14ac:dyDescent="0.2">
      <c r="F156">
        <f t="shared" si="34"/>
        <v>0.90000000000000113</v>
      </c>
      <c r="G156">
        <v>1.6049529228823411E-2</v>
      </c>
    </row>
    <row r="157" spans="6:7" x14ac:dyDescent="0.2">
      <c r="F157">
        <f t="shared" si="34"/>
        <v>0.92000000000000115</v>
      </c>
      <c r="G157">
        <v>1.6343662465383657E-2</v>
      </c>
    </row>
    <row r="158" spans="6:7" x14ac:dyDescent="0.2">
      <c r="F158">
        <f t="shared" si="34"/>
        <v>0.94000000000000117</v>
      </c>
      <c r="G158">
        <v>1.6641204396781184E-2</v>
      </c>
    </row>
    <row r="159" spans="6:7" x14ac:dyDescent="0.2">
      <c r="F159">
        <f t="shared" si="34"/>
        <v>0.96000000000000119</v>
      </c>
      <c r="G159">
        <v>1.6942142013503414E-2</v>
      </c>
    </row>
    <row r="160" spans="6:7" x14ac:dyDescent="0.2">
      <c r="F160">
        <f t="shared" si="34"/>
        <v>0.9800000000000012</v>
      </c>
      <c r="G160">
        <v>1.7246462404430396E-2</v>
      </c>
    </row>
    <row r="161" spans="6:7" x14ac:dyDescent="0.2">
      <c r="F161">
        <f t="shared" si="34"/>
        <v>1.0000000000000011</v>
      </c>
      <c r="G161">
        <v>1.7554152755136387E-2</v>
      </c>
    </row>
  </sheetData>
  <dataValidations count="1">
    <dataValidation type="list" allowBlank="1" showInputMessage="1" showErrorMessage="1" sqref="D12" xr:uid="{6BC0AAAF-173C-944D-A77C-170FB1FA8CD9}">
      <formula1>$A$12:$A$14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raw">
                <anchor moveWithCells="1" sizeWithCells="1">
                  <from>
                    <xdr:col>8</xdr:col>
                    <xdr:colOff>698500</xdr:colOff>
                    <xdr:row>59</xdr:row>
                    <xdr:rowOff>12700</xdr:rowOff>
                  </from>
                  <to>
                    <xdr:col>10</xdr:col>
                    <xdr:colOff>304800</xdr:colOff>
                    <xdr:row>60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F216-D1F6-EC43-87C8-3165D97F4690}">
  <sheetPr codeName="Sheet3"/>
  <dimension ref="A1:T108"/>
  <sheetViews>
    <sheetView topLeftCell="A68" workbookViewId="0">
      <selection activeCell="H1" sqref="H1"/>
    </sheetView>
  </sheetViews>
  <sheetFormatPr baseColWidth="10" defaultRowHeight="16" x14ac:dyDescent="0.2"/>
  <sheetData>
    <row r="1" spans="1:20" x14ac:dyDescent="0.2">
      <c r="D1" s="4" t="s">
        <v>16</v>
      </c>
      <c r="E1" s="4">
        <f>'without k'!D20</f>
        <v>0.11727639245697463</v>
      </c>
      <c r="G1" s="4" t="s">
        <v>9</v>
      </c>
      <c r="H1" s="4">
        <f>'without k'!D13</f>
        <v>0.5</v>
      </c>
    </row>
    <row r="2" spans="1:20" x14ac:dyDescent="0.2">
      <c r="A2" s="4" t="s">
        <v>21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</row>
    <row r="3" spans="1:20" x14ac:dyDescent="0.2">
      <c r="A3" s="2">
        <v>1</v>
      </c>
      <c r="B3">
        <f>1+2*E1*H1</f>
        <v>1.1172763924569746</v>
      </c>
      <c r="C3">
        <f>-$E$1*$H$1</f>
        <v>-5.8638196228487316E-2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">
      <c r="A4" s="2">
        <v>2</v>
      </c>
      <c r="B4">
        <f>-$E$1*$H$1</f>
        <v>-5.8638196228487316E-2</v>
      </c>
      <c r="C4">
        <f>B3</f>
        <v>1.1172763924569746</v>
      </c>
      <c r="D4" s="5">
        <f>C3</f>
        <v>-5.8638196228487316E-2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">
      <c r="A5" s="2">
        <v>3</v>
      </c>
      <c r="B5">
        <v>0</v>
      </c>
      <c r="C5">
        <f>-$E$1*$H$1</f>
        <v>-5.8638196228487316E-2</v>
      </c>
      <c r="D5">
        <f>C4</f>
        <v>1.1172763924569746</v>
      </c>
      <c r="E5" s="5">
        <f>D4</f>
        <v>-5.8638196228487316E-2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">
      <c r="A6" s="2">
        <v>4</v>
      </c>
      <c r="B6">
        <v>0</v>
      </c>
      <c r="C6">
        <v>0</v>
      </c>
      <c r="D6">
        <f>-$E$1*$H$1</f>
        <v>-5.8638196228487316E-2</v>
      </c>
      <c r="E6">
        <f>D5</f>
        <v>1.1172763924569746</v>
      </c>
      <c r="F6" s="5">
        <f>E5</f>
        <v>-5.8638196228487316E-2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">
      <c r="A7" s="2">
        <v>5</v>
      </c>
      <c r="B7">
        <v>0</v>
      </c>
      <c r="C7">
        <v>0</v>
      </c>
      <c r="D7">
        <v>0</v>
      </c>
      <c r="E7">
        <f>-$E$1*$H$1</f>
        <v>-5.8638196228487316E-2</v>
      </c>
      <c r="F7">
        <f>E6</f>
        <v>1.1172763924569746</v>
      </c>
      <c r="G7" s="5">
        <f>F6</f>
        <v>-5.8638196228487316E-2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">
      <c r="A8" s="2">
        <v>6</v>
      </c>
      <c r="B8">
        <v>0</v>
      </c>
      <c r="C8">
        <v>0</v>
      </c>
      <c r="D8">
        <v>0</v>
      </c>
      <c r="E8">
        <v>0</v>
      </c>
      <c r="F8">
        <f>-$E$1*$H$1</f>
        <v>-5.8638196228487316E-2</v>
      </c>
      <c r="G8">
        <f>F7</f>
        <v>1.1172763924569746</v>
      </c>
      <c r="H8" s="5">
        <f>G7</f>
        <v>-5.8638196228487316E-2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s="2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f>-$E$1*$H$1</f>
        <v>-5.8638196228487316E-2</v>
      </c>
      <c r="H9">
        <f>G8</f>
        <v>1.1172763924569746</v>
      </c>
      <c r="I9" s="5">
        <f>H8</f>
        <v>-5.8638196228487316E-2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s="2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f>-$E$1*$H$1</f>
        <v>-5.8638196228487316E-2</v>
      </c>
      <c r="I10">
        <f>H9</f>
        <v>1.1172763924569746</v>
      </c>
      <c r="J10" s="5">
        <f>I9</f>
        <v>-5.8638196228487316E-2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s="2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f>-$E$1*$H$1</f>
        <v>-5.8638196228487316E-2</v>
      </c>
      <c r="J11">
        <f>I10</f>
        <v>1.1172763924569746</v>
      </c>
      <c r="K11" s="5">
        <f>J10</f>
        <v>-5.8638196228487316E-2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">
      <c r="A12" s="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f>-$E$1*$H$1</f>
        <v>-5.8638196228487316E-2</v>
      </c>
      <c r="K12">
        <f>J11</f>
        <v>1.1172763924569746</v>
      </c>
      <c r="L12" s="5">
        <f>K11</f>
        <v>-5.8638196228487316E-2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 s="2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f>-$E$1*$H$1</f>
        <v>-5.8638196228487316E-2</v>
      </c>
      <c r="L13">
        <f>K12</f>
        <v>1.1172763924569746</v>
      </c>
      <c r="M13" s="5">
        <f>L12</f>
        <v>-5.8638196228487316E-2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 s="2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>-$E$1*$H$1</f>
        <v>-5.8638196228487316E-2</v>
      </c>
      <c r="M14">
        <f>L13</f>
        <v>1.1172763924569746</v>
      </c>
      <c r="N14" s="5">
        <f>M13</f>
        <v>-5.8638196228487316E-2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 s="2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f>-$E$1*$H$1</f>
        <v>-5.8638196228487316E-2</v>
      </c>
      <c r="N15">
        <f>M14</f>
        <v>1.1172763924569746</v>
      </c>
      <c r="O15" s="5">
        <f>N14</f>
        <v>-5.8638196228487316E-2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 s="2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f>-$E$1*$H$1</f>
        <v>-5.8638196228487316E-2</v>
      </c>
      <c r="O16">
        <f>N15</f>
        <v>1.1172763924569746</v>
      </c>
      <c r="P16" s="5">
        <f>O15</f>
        <v>-5.8638196228487316E-2</v>
      </c>
      <c r="Q16">
        <v>0</v>
      </c>
      <c r="R16">
        <v>0</v>
      </c>
      <c r="S16">
        <v>0</v>
      </c>
      <c r="T16">
        <v>0</v>
      </c>
    </row>
    <row r="17" spans="1:20" x14ac:dyDescent="0.2">
      <c r="A17" s="2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f>-$E$1*$H$1</f>
        <v>-5.8638196228487316E-2</v>
      </c>
      <c r="P17">
        <f>O16</f>
        <v>1.1172763924569746</v>
      </c>
      <c r="Q17" s="5">
        <f>P16</f>
        <v>-5.8638196228487316E-2</v>
      </c>
      <c r="R17">
        <v>0</v>
      </c>
      <c r="S17">
        <v>0</v>
      </c>
      <c r="T17">
        <v>0</v>
      </c>
    </row>
    <row r="18" spans="1:20" x14ac:dyDescent="0.2">
      <c r="A18" s="2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f>-$E$1*$H$1</f>
        <v>-5.8638196228487316E-2</v>
      </c>
      <c r="Q18">
        <f>P17</f>
        <v>1.1172763924569746</v>
      </c>
      <c r="R18" s="5">
        <f>Q17</f>
        <v>-5.8638196228487316E-2</v>
      </c>
      <c r="S18">
        <v>0</v>
      </c>
      <c r="T18">
        <v>0</v>
      </c>
    </row>
    <row r="19" spans="1:20" x14ac:dyDescent="0.2">
      <c r="A19" s="2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f>-$E$1*$H$1</f>
        <v>-5.8638196228487316E-2</v>
      </c>
      <c r="R19">
        <f>Q18</f>
        <v>1.1172763924569746</v>
      </c>
      <c r="S19" s="5">
        <f>R18</f>
        <v>-5.8638196228487316E-2</v>
      </c>
      <c r="T19">
        <v>0</v>
      </c>
    </row>
    <row r="20" spans="1:20" x14ac:dyDescent="0.2">
      <c r="A20" s="2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f>-$E$1*$H$1</f>
        <v>-5.8638196228487316E-2</v>
      </c>
      <c r="S20">
        <f>R19</f>
        <v>1.1172763924569746</v>
      </c>
      <c r="T20" s="5">
        <f>S19</f>
        <v>-5.8638196228487316E-2</v>
      </c>
    </row>
    <row r="21" spans="1:20" x14ac:dyDescent="0.2">
      <c r="A21" s="2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f>-$E$1*$H$1</f>
        <v>-5.8638196228487316E-2</v>
      </c>
      <c r="T21">
        <f>S20</f>
        <v>1.1172763924569746</v>
      </c>
    </row>
    <row r="23" spans="1:20" x14ac:dyDescent="0.2">
      <c r="A23" s="4" t="s">
        <v>22</v>
      </c>
    </row>
    <row r="24" spans="1:20" x14ac:dyDescent="0.2">
      <c r="A24" s="2">
        <v>1</v>
      </c>
      <c r="B24">
        <f>1-2*E1*(1-H1)</f>
        <v>0.88272360754302537</v>
      </c>
      <c r="C24">
        <f>E1*(1-H1)</f>
        <v>5.8638196228487316E-2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">
      <c r="A25" s="2">
        <v>2</v>
      </c>
      <c r="B25">
        <f>E1*(1-H1)</f>
        <v>5.8638196228487316E-2</v>
      </c>
      <c r="C25">
        <f>B24</f>
        <v>0.88272360754302537</v>
      </c>
      <c r="D25">
        <f>C24</f>
        <v>5.8638196228487316E-2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">
      <c r="A26" s="2">
        <v>3</v>
      </c>
      <c r="B26">
        <v>0</v>
      </c>
      <c r="C26">
        <f>B25</f>
        <v>5.8638196228487316E-2</v>
      </c>
      <c r="D26">
        <f>C25</f>
        <v>0.88272360754302537</v>
      </c>
      <c r="E26">
        <f>D25</f>
        <v>5.8638196228487316E-2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">
      <c r="A27" s="2">
        <v>4</v>
      </c>
      <c r="B27">
        <v>0</v>
      </c>
      <c r="C27">
        <v>0</v>
      </c>
      <c r="D27">
        <f>C26</f>
        <v>5.8638196228487316E-2</v>
      </c>
      <c r="E27">
        <f>D26</f>
        <v>0.88272360754302537</v>
      </c>
      <c r="F27">
        <f>E26</f>
        <v>5.8638196228487316E-2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">
      <c r="A28" s="2">
        <v>5</v>
      </c>
      <c r="B28">
        <v>0</v>
      </c>
      <c r="C28">
        <v>0</v>
      </c>
      <c r="D28">
        <v>0</v>
      </c>
      <c r="E28">
        <f>D27</f>
        <v>5.8638196228487316E-2</v>
      </c>
      <c r="F28">
        <f>E27</f>
        <v>0.88272360754302537</v>
      </c>
      <c r="G28">
        <f>F27</f>
        <v>5.8638196228487316E-2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">
      <c r="A29" s="2">
        <v>6</v>
      </c>
      <c r="B29">
        <v>0</v>
      </c>
      <c r="C29">
        <v>0</v>
      </c>
      <c r="D29">
        <v>0</v>
      </c>
      <c r="E29">
        <v>0</v>
      </c>
      <c r="F29">
        <f>E28</f>
        <v>5.8638196228487316E-2</v>
      </c>
      <c r="G29">
        <f>F28</f>
        <v>0.88272360754302537</v>
      </c>
      <c r="H29">
        <f>G28</f>
        <v>5.8638196228487316E-2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">
      <c r="A30" s="2">
        <v>7</v>
      </c>
      <c r="B30">
        <v>0</v>
      </c>
      <c r="C30">
        <v>0</v>
      </c>
      <c r="D30">
        <v>0</v>
      </c>
      <c r="E30">
        <v>0</v>
      </c>
      <c r="F30">
        <v>0</v>
      </c>
      <c r="G30">
        <f>F29</f>
        <v>5.8638196228487316E-2</v>
      </c>
      <c r="H30">
        <f>G29</f>
        <v>0.88272360754302537</v>
      </c>
      <c r="I30">
        <f>H29</f>
        <v>5.8638196228487316E-2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">
      <c r="A31" s="2">
        <v>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f>G30</f>
        <v>5.8638196228487316E-2</v>
      </c>
      <c r="I31">
        <f>H30</f>
        <v>0.88272360754302537</v>
      </c>
      <c r="J31">
        <f>I30</f>
        <v>5.8638196228487316E-2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">
      <c r="A32" s="2">
        <v>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f>H31</f>
        <v>5.8638196228487316E-2</v>
      </c>
      <c r="J32">
        <f>I31</f>
        <v>0.88272360754302537</v>
      </c>
      <c r="K32">
        <f>J31</f>
        <v>5.8638196228487316E-2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">
      <c r="A33" s="2">
        <v>10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f>I32</f>
        <v>5.8638196228487316E-2</v>
      </c>
      <c r="K33">
        <f>J32</f>
        <v>0.88272360754302537</v>
      </c>
      <c r="L33">
        <f>K32</f>
        <v>5.8638196228487316E-2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">
      <c r="A34" s="2">
        <v>11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f>J33</f>
        <v>5.8638196228487316E-2</v>
      </c>
      <c r="L34">
        <f>K33</f>
        <v>0.88272360754302537</v>
      </c>
      <c r="M34">
        <f>L33</f>
        <v>5.8638196228487316E-2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">
      <c r="A35" s="2">
        <v>12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>K34</f>
        <v>5.8638196228487316E-2</v>
      </c>
      <c r="M35">
        <f>L34</f>
        <v>0.88272360754302537</v>
      </c>
      <c r="N35">
        <f>M34</f>
        <v>5.8638196228487316E-2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">
      <c r="A36" s="2">
        <v>13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f>L35</f>
        <v>5.8638196228487316E-2</v>
      </c>
      <c r="N36">
        <f>M35</f>
        <v>0.88272360754302537</v>
      </c>
      <c r="O36">
        <f>N35</f>
        <v>5.8638196228487316E-2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">
      <c r="A37" s="2">
        <v>14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f>M36</f>
        <v>5.8638196228487316E-2</v>
      </c>
      <c r="O37">
        <f>N36</f>
        <v>0.88272360754302537</v>
      </c>
      <c r="P37">
        <f>O36</f>
        <v>5.8638196228487316E-2</v>
      </c>
      <c r="Q37">
        <v>0</v>
      </c>
      <c r="R37">
        <v>0</v>
      </c>
      <c r="S37">
        <v>0</v>
      </c>
      <c r="T37">
        <v>0</v>
      </c>
    </row>
    <row r="38" spans="1:20" x14ac:dyDescent="0.2">
      <c r="A38" s="2">
        <v>15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f>N37</f>
        <v>5.8638196228487316E-2</v>
      </c>
      <c r="P38">
        <f>O37</f>
        <v>0.88272360754302537</v>
      </c>
      <c r="Q38">
        <f>P37</f>
        <v>5.8638196228487316E-2</v>
      </c>
      <c r="R38">
        <v>0</v>
      </c>
      <c r="S38">
        <v>0</v>
      </c>
      <c r="T38">
        <v>0</v>
      </c>
    </row>
    <row r="39" spans="1:20" x14ac:dyDescent="0.2">
      <c r="A39" s="2">
        <v>16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>O38</f>
        <v>5.8638196228487316E-2</v>
      </c>
      <c r="Q39">
        <f>P38</f>
        <v>0.88272360754302537</v>
      </c>
      <c r="R39">
        <f>Q38</f>
        <v>5.8638196228487316E-2</v>
      </c>
      <c r="S39">
        <v>0</v>
      </c>
      <c r="T39">
        <v>0</v>
      </c>
    </row>
    <row r="40" spans="1:20" x14ac:dyDescent="0.2">
      <c r="A40" s="2">
        <v>17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f>P39</f>
        <v>5.8638196228487316E-2</v>
      </c>
      <c r="R40">
        <f>Q39</f>
        <v>0.88272360754302537</v>
      </c>
      <c r="S40">
        <f>R39</f>
        <v>5.8638196228487316E-2</v>
      </c>
      <c r="T40">
        <v>0</v>
      </c>
    </row>
    <row r="41" spans="1:20" x14ac:dyDescent="0.2">
      <c r="A41" s="2">
        <v>18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f>Q40</f>
        <v>5.8638196228487316E-2</v>
      </c>
      <c r="S41">
        <f>R40</f>
        <v>0.88272360754302537</v>
      </c>
      <c r="T41">
        <f>S40</f>
        <v>5.8638196228487316E-2</v>
      </c>
    </row>
    <row r="42" spans="1:20" x14ac:dyDescent="0.2">
      <c r="A42" s="2">
        <v>19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f>R41</f>
        <v>5.8638196228487316E-2</v>
      </c>
      <c r="T42">
        <f>S41</f>
        <v>0.88272360754302537</v>
      </c>
    </row>
    <row r="44" spans="1:20" x14ac:dyDescent="0.2">
      <c r="A44" s="4" t="s">
        <v>23</v>
      </c>
      <c r="B44">
        <f t="array" ref="B44:T62">MMULT(MINVERSE(B3:T21),B24:T42)</f>
        <v>0.79502541816154282</v>
      </c>
      <c r="C44">
        <v>9.4469542523372529E-2</v>
      </c>
      <c r="D44">
        <v>4.9717928082131119E-3</v>
      </c>
      <c r="E44">
        <v>2.6165812882690743E-4</v>
      </c>
      <c r="F44">
        <v>1.3770681728349245E-5</v>
      </c>
      <c r="G44">
        <v>7.2473068623423982E-7</v>
      </c>
      <c r="H44">
        <v>3.8141508019045212E-8</v>
      </c>
      <c r="I44">
        <v>2.0073313599097329E-9</v>
      </c>
      <c r="J44">
        <v>1.056428913734891E-10</v>
      </c>
      <c r="K44">
        <v>5.5598296926187055E-12</v>
      </c>
      <c r="L44">
        <v>2.9260564349417123E-13</v>
      </c>
      <c r="M44">
        <v>1.5399403819564037E-14</v>
      </c>
      <c r="N44">
        <v>8.1044792973286356E-16</v>
      </c>
      <c r="O44">
        <v>4.2652680227388131E-17</v>
      </c>
      <c r="P44">
        <v>2.2447477053574383E-18</v>
      </c>
      <c r="Q44">
        <v>1.181377637594975E-19</v>
      </c>
      <c r="R44">
        <v>6.2174162815140681E-21</v>
      </c>
      <c r="S44">
        <v>3.2721095332539429E-22</v>
      </c>
      <c r="T44">
        <v>1.717306498082456E-23</v>
      </c>
    </row>
    <row r="45" spans="1:20" x14ac:dyDescent="0.2">
      <c r="B45">
        <v>9.4469542523372529E-2</v>
      </c>
      <c r="C45">
        <v>0.79999721096975585</v>
      </c>
      <c r="D45">
        <v>9.4731200652199435E-2</v>
      </c>
      <c r="E45">
        <v>4.9855634899414617E-3</v>
      </c>
      <c r="F45">
        <v>2.6238285951314167E-4</v>
      </c>
      <c r="G45">
        <v>1.3808823236368288E-5</v>
      </c>
      <c r="H45">
        <v>7.2673801759414948E-7</v>
      </c>
      <c r="I45">
        <v>3.8247150910418699E-8</v>
      </c>
      <c r="J45">
        <v>2.0128911896023517E-9</v>
      </c>
      <c r="K45">
        <v>1.0593549701698326E-10</v>
      </c>
      <c r="L45">
        <v>5.5752290964382699E-12</v>
      </c>
      <c r="M45">
        <v>2.9341609142390409E-13</v>
      </c>
      <c r="N45">
        <v>1.5442056499791423E-14</v>
      </c>
      <c r="O45">
        <v>8.1269267743822106E-16</v>
      </c>
      <c r="P45">
        <v>4.2770817991147632E-17</v>
      </c>
      <c r="Q45">
        <v>2.2509651216389523E-18</v>
      </c>
      <c r="R45">
        <v>1.1846497471282287E-19</v>
      </c>
      <c r="S45">
        <v>6.2345893464948922E-21</v>
      </c>
      <c r="T45">
        <v>3.2721095332539419E-22</v>
      </c>
    </row>
    <row r="46" spans="1:20" x14ac:dyDescent="0.2">
      <c r="B46">
        <v>4.9717928082131119E-3</v>
      </c>
      <c r="C46">
        <v>9.4731200652199449E-2</v>
      </c>
      <c r="D46">
        <v>0.80001098165148432</v>
      </c>
      <c r="E46">
        <v>9.4731925382885676E-2</v>
      </c>
      <c r="F46">
        <v>4.9856016314494805E-3</v>
      </c>
      <c r="G46">
        <v>2.6238486684450156E-4</v>
      </c>
      <c r="H46">
        <v>1.380892887925966E-5</v>
      </c>
      <c r="I46">
        <v>7.2674357742384201E-7</v>
      </c>
      <c r="J46">
        <v>3.8247443516062199E-8</v>
      </c>
      <c r="K46">
        <v>2.0129065890061708E-9</v>
      </c>
      <c r="L46">
        <v>1.05936307464913E-10</v>
      </c>
      <c r="M46">
        <v>5.5752717491184978E-12</v>
      </c>
      <c r="N46">
        <v>2.934183361716094E-13</v>
      </c>
      <c r="O46">
        <v>1.5442174637555183E-14</v>
      </c>
      <c r="P46">
        <v>8.1269889485450267E-16</v>
      </c>
      <c r="Q46">
        <v>4.2771145202100962E-17</v>
      </c>
      <c r="R46">
        <v>2.2509822947039328E-18</v>
      </c>
      <c r="S46">
        <v>1.1846497471282287E-19</v>
      </c>
      <c r="T46">
        <v>6.2174162815140673E-21</v>
      </c>
    </row>
    <row r="47" spans="1:20" x14ac:dyDescent="0.2">
      <c r="B47">
        <v>2.6165812882690748E-4</v>
      </c>
      <c r="C47">
        <v>4.9855634899414625E-3</v>
      </c>
      <c r="D47">
        <v>9.473192538288569E-2</v>
      </c>
      <c r="E47">
        <v>0.80001101979299227</v>
      </c>
      <c r="F47">
        <v>9.4731927390217033E-2</v>
      </c>
      <c r="G47">
        <v>4.9856017370923716E-3</v>
      </c>
      <c r="H47">
        <v>2.6238487240433128E-4</v>
      </c>
      <c r="I47">
        <v>1.3808929171865303E-5</v>
      </c>
      <c r="J47">
        <v>7.2674359282324584E-7</v>
      </c>
      <c r="K47">
        <v>3.8247444326510112E-8</v>
      </c>
      <c r="L47">
        <v>2.0129066316588511E-9</v>
      </c>
      <c r="M47">
        <v>1.0593630970966069E-10</v>
      </c>
      <c r="N47">
        <v>5.5752718672562592E-12</v>
      </c>
      <c r="O47">
        <v>2.9341834238902569E-13</v>
      </c>
      <c r="P47">
        <v>1.5442174964766138E-14</v>
      </c>
      <c r="Q47">
        <v>8.1269891202756745E-16</v>
      </c>
      <c r="R47">
        <v>4.277114520210095E-17</v>
      </c>
      <c r="S47">
        <v>2.2509651216389519E-18</v>
      </c>
      <c r="T47">
        <v>1.1813776375949746E-19</v>
      </c>
    </row>
    <row r="48" spans="1:20" x14ac:dyDescent="0.2">
      <c r="B48">
        <v>1.3770681728349249E-5</v>
      </c>
      <c r="C48">
        <v>2.6238285951314173E-4</v>
      </c>
      <c r="D48">
        <v>4.9856016314494813E-3</v>
      </c>
      <c r="E48">
        <v>9.4731927390217047E-2</v>
      </c>
      <c r="F48">
        <v>0.8000110198986351</v>
      </c>
      <c r="G48">
        <v>9.4731927395776863E-2</v>
      </c>
      <c r="H48">
        <v>4.9856017373849761E-3</v>
      </c>
      <c r="I48">
        <v>2.6238487241973064E-4</v>
      </c>
      <c r="J48">
        <v>1.3808929172675752E-5</v>
      </c>
      <c r="K48">
        <v>7.267435928658984E-7</v>
      </c>
      <c r="L48">
        <v>3.8247444328754862E-8</v>
      </c>
      <c r="M48">
        <v>2.0129066317769882E-9</v>
      </c>
      <c r="N48">
        <v>1.059363097158781E-10</v>
      </c>
      <c r="O48">
        <v>5.5752718675834706E-12</v>
      </c>
      <c r="P48">
        <v>2.9341834240619878E-13</v>
      </c>
      <c r="Q48">
        <v>1.5442174964766135E-14</v>
      </c>
      <c r="R48">
        <v>8.1269889485450227E-16</v>
      </c>
      <c r="S48">
        <v>4.277081799114762E-17</v>
      </c>
      <c r="T48">
        <v>2.2447477053574372E-18</v>
      </c>
    </row>
    <row r="49" spans="1:20" x14ac:dyDescent="0.2">
      <c r="B49">
        <v>7.2473068623423993E-7</v>
      </c>
      <c r="C49">
        <v>1.380882323636829E-5</v>
      </c>
      <c r="D49">
        <v>2.6238486684450162E-4</v>
      </c>
      <c r="E49">
        <v>4.9856017370923725E-3</v>
      </c>
      <c r="F49">
        <v>9.4731927395776877E-2</v>
      </c>
      <c r="G49">
        <v>0.80001101989892764</v>
      </c>
      <c r="H49">
        <v>9.4731927395792254E-2</v>
      </c>
      <c r="I49">
        <v>4.9856017373857862E-3</v>
      </c>
      <c r="J49">
        <v>2.6238487241977325E-4</v>
      </c>
      <c r="K49">
        <v>1.3808929172677994E-5</v>
      </c>
      <c r="L49">
        <v>7.2674359286601656E-7</v>
      </c>
      <c r="M49">
        <v>3.8247444328761082E-8</v>
      </c>
      <c r="N49">
        <v>2.0129066317773153E-9</v>
      </c>
      <c r="O49">
        <v>1.0593630971589527E-10</v>
      </c>
      <c r="P49">
        <v>5.5752718675834706E-12</v>
      </c>
      <c r="Q49">
        <v>2.9341834238902559E-13</v>
      </c>
      <c r="R49">
        <v>1.5442174637555173E-14</v>
      </c>
      <c r="S49">
        <v>8.1269267743822066E-16</v>
      </c>
      <c r="T49">
        <v>4.2652680227388113E-17</v>
      </c>
    </row>
    <row r="50" spans="1:20" x14ac:dyDescent="0.2">
      <c r="B50">
        <v>3.8141508019045225E-8</v>
      </c>
      <c r="C50">
        <v>7.2673801759414969E-7</v>
      </c>
      <c r="D50">
        <v>1.3808928879259665E-5</v>
      </c>
      <c r="E50">
        <v>2.6238487240433128E-4</v>
      </c>
      <c r="F50">
        <v>4.985601737384977E-3</v>
      </c>
      <c r="G50">
        <v>9.4731927395792254E-2</v>
      </c>
      <c r="H50">
        <v>0.80001101989892864</v>
      </c>
      <c r="I50">
        <v>9.4731927395792295E-2</v>
      </c>
      <c r="J50">
        <v>4.9856017373857897E-3</v>
      </c>
      <c r="K50">
        <v>2.6238487241977336E-4</v>
      </c>
      <c r="L50">
        <v>1.3808929172678E-5</v>
      </c>
      <c r="M50">
        <v>7.2674359286601677E-7</v>
      </c>
      <c r="N50">
        <v>3.8247444328761096E-8</v>
      </c>
      <c r="O50">
        <v>2.0129066317773149E-9</v>
      </c>
      <c r="P50">
        <v>1.0593630971587809E-10</v>
      </c>
      <c r="Q50">
        <v>5.5752718672562592E-12</v>
      </c>
      <c r="R50">
        <v>2.9341833617160925E-13</v>
      </c>
      <c r="S50">
        <v>1.5442056499791416E-14</v>
      </c>
      <c r="T50">
        <v>8.1044792973286316E-16</v>
      </c>
    </row>
    <row r="51" spans="1:20" x14ac:dyDescent="0.2">
      <c r="B51">
        <v>2.0073313599097337E-9</v>
      </c>
      <c r="C51">
        <v>3.8247150910418719E-8</v>
      </c>
      <c r="D51">
        <v>7.2674357742384222E-7</v>
      </c>
      <c r="E51">
        <v>1.3808929171865309E-5</v>
      </c>
      <c r="F51">
        <v>2.623848724197307E-4</v>
      </c>
      <c r="G51">
        <v>4.9856017373857871E-3</v>
      </c>
      <c r="H51">
        <v>9.4731927395792295E-2</v>
      </c>
      <c r="I51">
        <v>0.80001101989892864</v>
      </c>
      <c r="J51">
        <v>9.4731927395792295E-2</v>
      </c>
      <c r="K51">
        <v>4.9856017373857897E-3</v>
      </c>
      <c r="L51">
        <v>2.6238487241977336E-4</v>
      </c>
      <c r="M51">
        <v>1.3808929172678E-5</v>
      </c>
      <c r="N51">
        <v>7.2674359286601677E-7</v>
      </c>
      <c r="O51">
        <v>3.8247444328761069E-8</v>
      </c>
      <c r="P51">
        <v>2.0129066317769886E-9</v>
      </c>
      <c r="Q51">
        <v>1.0593630970966067E-10</v>
      </c>
      <c r="R51">
        <v>5.5752717491184938E-12</v>
      </c>
      <c r="S51">
        <v>2.9341609142390399E-13</v>
      </c>
      <c r="T51">
        <v>1.5399403819564028E-14</v>
      </c>
    </row>
    <row r="52" spans="1:20" x14ac:dyDescent="0.2">
      <c r="B52">
        <v>1.0564289137348914E-10</v>
      </c>
      <c r="C52">
        <v>2.0128911896023521E-9</v>
      </c>
      <c r="D52">
        <v>3.8247443516062205E-8</v>
      </c>
      <c r="E52">
        <v>7.2674359282324605E-7</v>
      </c>
      <c r="F52">
        <v>1.3808929172675754E-5</v>
      </c>
      <c r="G52">
        <v>2.6238487241977331E-4</v>
      </c>
      <c r="H52">
        <v>4.9856017373857888E-3</v>
      </c>
      <c r="I52">
        <v>9.4731927395792295E-2</v>
      </c>
      <c r="J52">
        <v>0.80001101989892864</v>
      </c>
      <c r="K52">
        <v>9.4731927395792295E-2</v>
      </c>
      <c r="L52">
        <v>4.9856017373857897E-3</v>
      </c>
      <c r="M52">
        <v>2.6238487241977336E-4</v>
      </c>
      <c r="N52">
        <v>1.3808929172678E-5</v>
      </c>
      <c r="O52">
        <v>7.2674359286601656E-7</v>
      </c>
      <c r="P52">
        <v>3.8247444328754862E-8</v>
      </c>
      <c r="Q52">
        <v>2.0129066316588507E-9</v>
      </c>
      <c r="R52">
        <v>1.0593630746491295E-10</v>
      </c>
      <c r="S52">
        <v>5.5752290964382675E-12</v>
      </c>
      <c r="T52">
        <v>2.9260564349417108E-13</v>
      </c>
    </row>
    <row r="53" spans="1:20" x14ac:dyDescent="0.2">
      <c r="B53">
        <v>5.5598296926187071E-12</v>
      </c>
      <c r="C53">
        <v>1.059354970169833E-10</v>
      </c>
      <c r="D53">
        <v>2.0129065890061712E-9</v>
      </c>
      <c r="E53">
        <v>3.8247444326510132E-8</v>
      </c>
      <c r="F53">
        <v>7.2674359286589861E-7</v>
      </c>
      <c r="G53">
        <v>1.3808929172677997E-5</v>
      </c>
      <c r="H53">
        <v>2.6238487241977341E-4</v>
      </c>
      <c r="I53">
        <v>4.9856017373857888E-3</v>
      </c>
      <c r="J53">
        <v>9.4731927395792295E-2</v>
      </c>
      <c r="K53">
        <v>0.80001101989892864</v>
      </c>
      <c r="L53">
        <v>9.4731927395792295E-2</v>
      </c>
      <c r="M53">
        <v>4.9856017373857897E-3</v>
      </c>
      <c r="N53">
        <v>2.6238487241977336E-4</v>
      </c>
      <c r="O53">
        <v>1.3808929172677994E-5</v>
      </c>
      <c r="P53">
        <v>7.267435928658984E-7</v>
      </c>
      <c r="Q53">
        <v>3.8247444326510112E-8</v>
      </c>
      <c r="R53">
        <v>2.0129065890061703E-9</v>
      </c>
      <c r="S53">
        <v>1.0593549701698321E-10</v>
      </c>
      <c r="T53">
        <v>5.5598296926187022E-12</v>
      </c>
    </row>
    <row r="54" spans="1:20" x14ac:dyDescent="0.2">
      <c r="B54">
        <v>2.9260564349417139E-13</v>
      </c>
      <c r="C54">
        <v>5.5752290964382723E-12</v>
      </c>
      <c r="D54">
        <v>1.0593630746491303E-10</v>
      </c>
      <c r="E54">
        <v>2.0129066316588515E-9</v>
      </c>
      <c r="F54">
        <v>3.8247444328754875E-8</v>
      </c>
      <c r="G54">
        <v>7.2674359286601677E-7</v>
      </c>
      <c r="H54">
        <v>1.3808929172678004E-5</v>
      </c>
      <c r="I54">
        <v>2.6238487241977341E-4</v>
      </c>
      <c r="J54">
        <v>4.9856017373857888E-3</v>
      </c>
      <c r="K54">
        <v>9.4731927395792295E-2</v>
      </c>
      <c r="L54">
        <v>0.80001101989892864</v>
      </c>
      <c r="M54">
        <v>9.4731927395792295E-2</v>
      </c>
      <c r="N54">
        <v>4.9856017373857897E-3</v>
      </c>
      <c r="O54">
        <v>2.6238487241977325E-4</v>
      </c>
      <c r="P54">
        <v>1.3808929172675751E-5</v>
      </c>
      <c r="Q54">
        <v>7.2674359282324574E-7</v>
      </c>
      <c r="R54">
        <v>3.8247443516062186E-8</v>
      </c>
      <c r="S54">
        <v>2.0128911896023509E-9</v>
      </c>
      <c r="T54">
        <v>1.0564289137348905E-10</v>
      </c>
    </row>
    <row r="55" spans="1:20" x14ac:dyDescent="0.2">
      <c r="B55">
        <v>1.5399403819564043E-14</v>
      </c>
      <c r="C55">
        <v>2.9341609142390424E-13</v>
      </c>
      <c r="D55">
        <v>5.5752717491184986E-12</v>
      </c>
      <c r="E55">
        <v>1.0593630970966072E-10</v>
      </c>
      <c r="F55">
        <v>2.012906631776989E-9</v>
      </c>
      <c r="G55">
        <v>3.8247444328761089E-8</v>
      </c>
      <c r="H55">
        <v>7.2674359286601698E-7</v>
      </c>
      <c r="I55">
        <v>1.3808929172678004E-5</v>
      </c>
      <c r="J55">
        <v>2.6238487241977341E-4</v>
      </c>
      <c r="K55">
        <v>4.9856017373857888E-3</v>
      </c>
      <c r="L55">
        <v>9.4731927395792295E-2</v>
      </c>
      <c r="M55">
        <v>0.80001101989892864</v>
      </c>
      <c r="N55">
        <v>9.4731927395792295E-2</v>
      </c>
      <c r="O55">
        <v>4.9856017373857862E-3</v>
      </c>
      <c r="P55">
        <v>2.6238487241973064E-4</v>
      </c>
      <c r="Q55">
        <v>1.3808929171865303E-5</v>
      </c>
      <c r="R55">
        <v>7.2674357742384191E-7</v>
      </c>
      <c r="S55">
        <v>3.8247150910418692E-8</v>
      </c>
      <c r="T55">
        <v>2.0073313599097316E-9</v>
      </c>
    </row>
    <row r="56" spans="1:20" x14ac:dyDescent="0.2">
      <c r="B56">
        <v>8.1044792973286405E-16</v>
      </c>
      <c r="C56">
        <v>1.5442056499791432E-14</v>
      </c>
      <c r="D56">
        <v>2.9341833617160956E-13</v>
      </c>
      <c r="E56">
        <v>5.5752718672562617E-12</v>
      </c>
      <c r="F56">
        <v>1.0593630971587812E-10</v>
      </c>
      <c r="G56">
        <v>2.0129066317773162E-9</v>
      </c>
      <c r="H56">
        <v>3.8247444328761109E-8</v>
      </c>
      <c r="I56">
        <v>7.2674359286601698E-7</v>
      </c>
      <c r="J56">
        <v>1.3808929172678004E-5</v>
      </c>
      <c r="K56">
        <v>2.6238487241977341E-4</v>
      </c>
      <c r="L56">
        <v>4.9856017373857888E-3</v>
      </c>
      <c r="M56">
        <v>9.4731927395792295E-2</v>
      </c>
      <c r="N56">
        <v>0.80001101989892853</v>
      </c>
      <c r="O56">
        <v>9.473192739579224E-2</v>
      </c>
      <c r="P56">
        <v>4.9856017373849761E-3</v>
      </c>
      <c r="Q56">
        <v>2.6238487240433118E-4</v>
      </c>
      <c r="R56">
        <v>1.3808928879259658E-5</v>
      </c>
      <c r="S56">
        <v>7.2673801759414926E-7</v>
      </c>
      <c r="T56">
        <v>3.8141508019045192E-8</v>
      </c>
    </row>
    <row r="57" spans="1:20" x14ac:dyDescent="0.2">
      <c r="B57">
        <v>4.2652680227388156E-17</v>
      </c>
      <c r="C57">
        <v>8.1269267743822145E-16</v>
      </c>
      <c r="D57">
        <v>1.5442174637555189E-14</v>
      </c>
      <c r="E57">
        <v>2.9341834238902579E-13</v>
      </c>
      <c r="F57">
        <v>5.575271867583473E-12</v>
      </c>
      <c r="G57">
        <v>1.0593630971589531E-10</v>
      </c>
      <c r="H57">
        <v>2.0129066317773162E-9</v>
      </c>
      <c r="I57">
        <v>3.8247444328761089E-8</v>
      </c>
      <c r="J57">
        <v>7.2674359286601666E-7</v>
      </c>
      <c r="K57">
        <v>1.3808929172677997E-5</v>
      </c>
      <c r="L57">
        <v>2.6238487241977331E-4</v>
      </c>
      <c r="M57">
        <v>4.9856017373857871E-3</v>
      </c>
      <c r="N57">
        <v>9.4731927395792254E-2</v>
      </c>
      <c r="O57">
        <v>0.80001101989892764</v>
      </c>
      <c r="P57">
        <v>9.4731927395776863E-2</v>
      </c>
      <c r="Q57">
        <v>4.9856017370923707E-3</v>
      </c>
      <c r="R57">
        <v>2.6238486684450151E-4</v>
      </c>
      <c r="S57">
        <v>1.3808823236368288E-5</v>
      </c>
      <c r="T57">
        <v>7.247306862342395E-7</v>
      </c>
    </row>
    <row r="58" spans="1:20" x14ac:dyDescent="0.2">
      <c r="B58">
        <v>2.2447477053574395E-18</v>
      </c>
      <c r="C58">
        <v>4.277081799114765E-17</v>
      </c>
      <c r="D58">
        <v>8.1269889485450286E-16</v>
      </c>
      <c r="E58">
        <v>1.5442174964766141E-14</v>
      </c>
      <c r="F58">
        <v>2.9341834240619878E-13</v>
      </c>
      <c r="G58">
        <v>5.5752718675834714E-12</v>
      </c>
      <c r="H58">
        <v>1.0593630971587812E-10</v>
      </c>
      <c r="I58">
        <v>2.012906631776989E-9</v>
      </c>
      <c r="J58">
        <v>3.8247444328754875E-8</v>
      </c>
      <c r="K58">
        <v>7.2674359286589861E-7</v>
      </c>
      <c r="L58">
        <v>1.3808929172675752E-5</v>
      </c>
      <c r="M58">
        <v>2.6238487241973064E-4</v>
      </c>
      <c r="N58">
        <v>4.985601737384977E-3</v>
      </c>
      <c r="O58">
        <v>9.4731927395776863E-2</v>
      </c>
      <c r="P58">
        <v>0.8000110198986351</v>
      </c>
      <c r="Q58">
        <v>9.4731927390217019E-2</v>
      </c>
      <c r="R58">
        <v>4.9856016314494787E-3</v>
      </c>
      <c r="S58">
        <v>2.6238285951314162E-4</v>
      </c>
      <c r="T58">
        <v>1.377068172834924E-5</v>
      </c>
    </row>
    <row r="59" spans="1:20" x14ac:dyDescent="0.2">
      <c r="B59">
        <v>1.1813776375949758E-19</v>
      </c>
      <c r="C59">
        <v>2.2509651216389534E-18</v>
      </c>
      <c r="D59">
        <v>4.2771145202100981E-17</v>
      </c>
      <c r="E59">
        <v>8.1269891202756774E-16</v>
      </c>
      <c r="F59">
        <v>1.5442174964766141E-14</v>
      </c>
      <c r="G59">
        <v>2.9341834238902574E-13</v>
      </c>
      <c r="H59">
        <v>5.57527186725626E-12</v>
      </c>
      <c r="I59">
        <v>1.0593630970966072E-10</v>
      </c>
      <c r="J59">
        <v>2.0129066316588511E-9</v>
      </c>
      <c r="K59">
        <v>3.8247444326510125E-8</v>
      </c>
      <c r="L59">
        <v>7.2674359282324584E-7</v>
      </c>
      <c r="M59">
        <v>1.3808929171865304E-5</v>
      </c>
      <c r="N59">
        <v>2.6238487240433123E-4</v>
      </c>
      <c r="O59">
        <v>4.9856017370923707E-3</v>
      </c>
      <c r="P59">
        <v>9.4731927390217033E-2</v>
      </c>
      <c r="Q59">
        <v>0.80001101979299216</v>
      </c>
      <c r="R59">
        <v>9.4731925382885676E-2</v>
      </c>
      <c r="S59">
        <v>4.9855634899414608E-3</v>
      </c>
      <c r="T59">
        <v>2.6165812882690732E-4</v>
      </c>
    </row>
    <row r="60" spans="1:20" x14ac:dyDescent="0.2">
      <c r="B60">
        <v>6.2174162815140718E-21</v>
      </c>
      <c r="C60">
        <v>1.1846497471282297E-19</v>
      </c>
      <c r="D60">
        <v>2.2509822947039336E-18</v>
      </c>
      <c r="E60">
        <v>4.2771145202100969E-17</v>
      </c>
      <c r="F60">
        <v>8.1269889485450276E-16</v>
      </c>
      <c r="G60">
        <v>1.5442174637555186E-14</v>
      </c>
      <c r="H60">
        <v>2.9341833617160946E-13</v>
      </c>
      <c r="I60">
        <v>5.575271749118497E-12</v>
      </c>
      <c r="J60">
        <v>1.05936307464913E-10</v>
      </c>
      <c r="K60">
        <v>2.0129065890061712E-9</v>
      </c>
      <c r="L60">
        <v>3.8247443516062192E-8</v>
      </c>
      <c r="M60">
        <v>7.2674357742384201E-7</v>
      </c>
      <c r="N60">
        <v>1.380892887925966E-5</v>
      </c>
      <c r="O60">
        <v>2.6238486684450156E-4</v>
      </c>
      <c r="P60">
        <v>4.9856016314494805E-3</v>
      </c>
      <c r="Q60">
        <v>9.4731925382885676E-2</v>
      </c>
      <c r="R60">
        <v>0.80001098165148421</v>
      </c>
      <c r="S60">
        <v>9.4731200652199449E-2</v>
      </c>
      <c r="T60">
        <v>4.9717928082131111E-3</v>
      </c>
    </row>
    <row r="61" spans="1:20" x14ac:dyDescent="0.2">
      <c r="B61">
        <v>3.2721095332539447E-22</v>
      </c>
      <c r="C61">
        <v>6.2345893464948967E-21</v>
      </c>
      <c r="D61">
        <v>1.1846497471282295E-19</v>
      </c>
      <c r="E61">
        <v>2.2509651216389534E-18</v>
      </c>
      <c r="F61">
        <v>4.2770817991147644E-17</v>
      </c>
      <c r="G61">
        <v>8.1269267743822116E-16</v>
      </c>
      <c r="H61">
        <v>1.5442056499791426E-14</v>
      </c>
      <c r="I61">
        <v>2.9341609142390409E-13</v>
      </c>
      <c r="J61">
        <v>5.5752290964382691E-12</v>
      </c>
      <c r="K61">
        <v>1.0593549701698326E-10</v>
      </c>
      <c r="L61">
        <v>2.0128911896023513E-9</v>
      </c>
      <c r="M61">
        <v>3.8247150910418706E-8</v>
      </c>
      <c r="N61">
        <v>7.2673801759414948E-7</v>
      </c>
      <c r="O61">
        <v>1.3808823236368286E-5</v>
      </c>
      <c r="P61">
        <v>2.6238285951314162E-4</v>
      </c>
      <c r="Q61">
        <v>4.9855634899414608E-3</v>
      </c>
      <c r="R61">
        <v>9.4731200652199435E-2</v>
      </c>
      <c r="S61">
        <v>0.79999721096975596</v>
      </c>
      <c r="T61">
        <v>9.4469542523372529E-2</v>
      </c>
    </row>
    <row r="62" spans="1:20" x14ac:dyDescent="0.2">
      <c r="B62">
        <v>1.7173064980824575E-23</v>
      </c>
      <c r="C62">
        <v>3.2721095332539447E-22</v>
      </c>
      <c r="D62">
        <v>6.2174162815140726E-21</v>
      </c>
      <c r="E62">
        <v>1.1813776375949755E-19</v>
      </c>
      <c r="F62">
        <v>2.2447477053574387E-18</v>
      </c>
      <c r="G62">
        <v>4.2652680227388144E-17</v>
      </c>
      <c r="H62">
        <v>8.1044792973286366E-16</v>
      </c>
      <c r="I62">
        <v>1.5399403819564037E-14</v>
      </c>
      <c r="J62">
        <v>2.9260564349417123E-13</v>
      </c>
      <c r="K62">
        <v>5.5598296926187055E-12</v>
      </c>
      <c r="L62">
        <v>1.0564289137348909E-10</v>
      </c>
      <c r="M62">
        <v>2.0073313599097325E-9</v>
      </c>
      <c r="N62">
        <v>3.8141508019045212E-8</v>
      </c>
      <c r="O62">
        <v>7.2473068623423971E-7</v>
      </c>
      <c r="P62">
        <v>1.3770681728349243E-5</v>
      </c>
      <c r="Q62">
        <v>2.6165812882690737E-4</v>
      </c>
      <c r="R62">
        <v>4.9717928082131119E-3</v>
      </c>
      <c r="S62">
        <v>9.4469542523372529E-2</v>
      </c>
      <c r="T62">
        <v>0.79502541816154282</v>
      </c>
    </row>
    <row r="63" spans="1:20" x14ac:dyDescent="0.2">
      <c r="A63" s="4" t="s">
        <v>25</v>
      </c>
    </row>
    <row r="64" spans="1:20" x14ac:dyDescent="0.2">
      <c r="A64">
        <f>'without k'!AB3</f>
        <v>0.93553136254382407</v>
      </c>
    </row>
    <row r="65" spans="1:20" x14ac:dyDescent="0.2">
      <c r="A65">
        <f>'without k'!AB4</f>
        <v>0.93552762469767381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f>$E$1*(1-$H$1)*A65+$E$1*$H$1*A64</f>
        <v>0.10971552404894169</v>
      </c>
    </row>
    <row r="66" spans="1:20" x14ac:dyDescent="0.2">
      <c r="A66">
        <f>'without k'!AB5</f>
        <v>0.93552388686645771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f t="shared" ref="T66:T87" si="0">$E$1*(1-$H$1)*A66+$E$1*$H$1*A65</f>
        <v>0.10971508568870535</v>
      </c>
    </row>
    <row r="67" spans="1:20" x14ac:dyDescent="0.2">
      <c r="A67">
        <f>'without k'!AB6</f>
        <v>0.935520149050176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f t="shared" si="0"/>
        <v>0.10971464733022043</v>
      </c>
    </row>
    <row r="68" spans="1:20" x14ac:dyDescent="0.2">
      <c r="A68">
        <f>'without k'!AB7</f>
        <v>0.93551641124882834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f t="shared" si="0"/>
        <v>0.10971420897348697</v>
      </c>
    </row>
    <row r="69" spans="1:20" x14ac:dyDescent="0.2">
      <c r="A69">
        <f>'without k'!AB8</f>
        <v>0.93551267346241485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f t="shared" si="0"/>
        <v>0.1097137706185049</v>
      </c>
    </row>
    <row r="70" spans="1:20" x14ac:dyDescent="0.2">
      <c r="A70">
        <f>'without k'!AB9</f>
        <v>0.93550893569093529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f t="shared" si="0"/>
        <v>0.10971333226527424</v>
      </c>
    </row>
    <row r="71" spans="1:20" x14ac:dyDescent="0.2">
      <c r="A71">
        <f>'without k'!AB10</f>
        <v>0.93550519793438991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f t="shared" si="0"/>
        <v>0.10971289391379502</v>
      </c>
    </row>
    <row r="72" spans="1:20" x14ac:dyDescent="0.2">
      <c r="A72">
        <f>'without k'!AB11</f>
        <v>0.93550146019277836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f t="shared" si="0"/>
        <v>0.10971245556406717</v>
      </c>
    </row>
    <row r="73" spans="1:20" x14ac:dyDescent="0.2">
      <c r="A73">
        <f>'without k'!AB12</f>
        <v>0.93549772246610063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f t="shared" si="0"/>
        <v>0.10971201721609072</v>
      </c>
    </row>
    <row r="74" spans="1:20" x14ac:dyDescent="0.2">
      <c r="A74">
        <f>'without k'!AB13</f>
        <v>0.93549398475435674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f t="shared" si="0"/>
        <v>0.10971157886986566</v>
      </c>
    </row>
    <row r="75" spans="1:20" x14ac:dyDescent="0.2">
      <c r="A75">
        <f>'without k'!AB14</f>
        <v>0.93549024705754669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f t="shared" si="0"/>
        <v>0.10971114052539199</v>
      </c>
    </row>
    <row r="76" spans="1:20" x14ac:dyDescent="0.2">
      <c r="A76">
        <f>'without k'!AB15</f>
        <v>0.93548650937567024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f t="shared" si="0"/>
        <v>0.10971070218266969</v>
      </c>
    </row>
    <row r="77" spans="1:20" x14ac:dyDescent="0.2">
      <c r="A77">
        <f>'without k'!AB16</f>
        <v>0.9354827717087274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f t="shared" si="0"/>
        <v>0.10971026384169874</v>
      </c>
    </row>
    <row r="78" spans="1:20" x14ac:dyDescent="0.2">
      <c r="A78">
        <f>'without k'!AB17</f>
        <v>0.93547903405671817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f t="shared" si="0"/>
        <v>0.10970982550247917</v>
      </c>
    </row>
    <row r="79" spans="1:20" x14ac:dyDescent="0.2">
      <c r="A79">
        <f>'without k'!AB18</f>
        <v>0.93547529641964244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f t="shared" si="0"/>
        <v>0.10970938716501094</v>
      </c>
    </row>
    <row r="80" spans="1:20" x14ac:dyDescent="0.2">
      <c r="A80">
        <f>'without k'!AB19</f>
        <v>0.93547155879750021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f t="shared" si="0"/>
        <v>0.10970894882929405</v>
      </c>
    </row>
    <row r="81" spans="1:20" x14ac:dyDescent="0.2">
      <c r="A81">
        <f>'without k'!AB20</f>
        <v>0.93546782119029137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f t="shared" si="0"/>
        <v>0.10970851049532851</v>
      </c>
    </row>
    <row r="82" spans="1:20" x14ac:dyDescent="0.2">
      <c r="A82">
        <f>'without k'!AB21</f>
        <v>0.93546408359801581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f t="shared" si="0"/>
        <v>0.1097080721631143</v>
      </c>
    </row>
    <row r="83" spans="1:20" x14ac:dyDescent="0.2">
      <c r="A83">
        <f>'without k'!AB22</f>
        <v>0.93546034602067352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f t="shared" si="0"/>
        <v>0.10970763383265142</v>
      </c>
    </row>
    <row r="84" spans="1:20" x14ac:dyDescent="0.2">
      <c r="A84">
        <f>'without k'!AB23</f>
        <v>0.9354566084582645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f t="shared" si="0"/>
        <v>0.10970719550393984</v>
      </c>
    </row>
    <row r="85" spans="1:20" x14ac:dyDescent="0.2">
      <c r="A85">
        <f>'without k'!AB24</f>
        <v>0.93545287091078855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f t="shared" si="0"/>
        <v>0.10970675717697957</v>
      </c>
    </row>
    <row r="86" spans="1:20" x14ac:dyDescent="0.2">
      <c r="A86">
        <f>'without k'!AB25</f>
        <v>0.93544913337824576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f t="shared" si="0"/>
        <v>0.10970631885177061</v>
      </c>
    </row>
    <row r="87" spans="1:20" x14ac:dyDescent="0.2">
      <c r="A87">
        <f>'without k'!AB26</f>
        <v>0.93544539586063602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f t="shared" si="0"/>
        <v>0.10970588052831295</v>
      </c>
    </row>
    <row r="88" spans="1:20" x14ac:dyDescent="0.2">
      <c r="A88">
        <f>'without k'!AB27</f>
        <v>6.0390562166470318E-2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f>$E$1*(1-$H$1)*A88+$E$1*$H$1*A87</f>
        <v>5.8394024318177119E-2</v>
      </c>
    </row>
    <row r="90" spans="1:20" x14ac:dyDescent="0.2">
      <c r="A90" s="4" t="s">
        <v>26</v>
      </c>
      <c r="B90">
        <f t="array" ref="B90:T108">MINVERSE(B3:T21)</f>
        <v>0.89751270908077141</v>
      </c>
      <c r="C90">
        <v>4.7234771261686265E-2</v>
      </c>
      <c r="D90">
        <v>2.485896404106556E-3</v>
      </c>
      <c r="E90">
        <v>1.3082906441345371E-4</v>
      </c>
      <c r="F90">
        <v>6.8853408641746217E-6</v>
      </c>
      <c r="G90">
        <v>3.6236534311711991E-7</v>
      </c>
      <c r="H90">
        <v>1.9070754009522603E-8</v>
      </c>
      <c r="I90">
        <v>1.0036656799548664E-9</v>
      </c>
      <c r="J90">
        <v>5.2821445686744549E-11</v>
      </c>
      <c r="K90">
        <v>2.7799148463093523E-12</v>
      </c>
      <c r="L90">
        <v>1.4630282174708567E-13</v>
      </c>
      <c r="M90">
        <v>7.6997019097820169E-15</v>
      </c>
      <c r="N90">
        <v>4.0522396486643178E-16</v>
      </c>
      <c r="O90">
        <v>2.1326340113694066E-17</v>
      </c>
      <c r="P90">
        <v>1.1223738526787194E-18</v>
      </c>
      <c r="Q90">
        <v>5.906888187974874E-20</v>
      </c>
      <c r="R90">
        <v>3.1087081407570344E-21</v>
      </c>
      <c r="S90">
        <v>1.6360547666269712E-22</v>
      </c>
      <c r="T90">
        <v>8.58653249041228E-24</v>
      </c>
    </row>
    <row r="91" spans="1:20" x14ac:dyDescent="0.2">
      <c r="B91">
        <v>4.7234771261686265E-2</v>
      </c>
      <c r="C91">
        <v>0.89999860548487787</v>
      </c>
      <c r="D91">
        <v>4.7365600326099724E-2</v>
      </c>
      <c r="E91">
        <v>2.4927817449707308E-3</v>
      </c>
      <c r="F91">
        <v>1.3119142975657084E-4</v>
      </c>
      <c r="G91">
        <v>6.9044116181841449E-6</v>
      </c>
      <c r="H91">
        <v>3.6336900879707463E-7</v>
      </c>
      <c r="I91">
        <v>1.9123575455209353E-8</v>
      </c>
      <c r="J91">
        <v>1.0064455948011757E-9</v>
      </c>
      <c r="K91">
        <v>5.2967748508491624E-11</v>
      </c>
      <c r="L91">
        <v>2.7876145482191353E-12</v>
      </c>
      <c r="M91">
        <v>1.4670804571195202E-13</v>
      </c>
      <c r="N91">
        <v>7.7210282498957113E-15</v>
      </c>
      <c r="O91">
        <v>4.0634633871911048E-16</v>
      </c>
      <c r="P91">
        <v>2.1385408995573822E-17</v>
      </c>
      <c r="Q91">
        <v>1.1254825608194759E-18</v>
      </c>
      <c r="R91">
        <v>5.9232487356411449E-20</v>
      </c>
      <c r="S91">
        <v>3.1172946732474457E-21</v>
      </c>
      <c r="T91">
        <v>1.6360547666269707E-22</v>
      </c>
    </row>
    <row r="92" spans="1:20" x14ac:dyDescent="0.2">
      <c r="B92">
        <v>2.4858964041065564E-3</v>
      </c>
      <c r="C92">
        <v>4.7365600326099724E-2</v>
      </c>
      <c r="D92">
        <v>0.90000549082574222</v>
      </c>
      <c r="E92">
        <v>4.7365962691442845E-2</v>
      </c>
      <c r="F92">
        <v>2.4928008157247402E-3</v>
      </c>
      <c r="G92">
        <v>1.3119243342225081E-4</v>
      </c>
      <c r="H92">
        <v>6.9044644396298291E-6</v>
      </c>
      <c r="I92">
        <v>3.6337178871192111E-7</v>
      </c>
      <c r="J92">
        <v>1.9123721758031096E-8</v>
      </c>
      <c r="K92">
        <v>1.0064532945030854E-9</v>
      </c>
      <c r="L92">
        <v>5.2968153732456509E-11</v>
      </c>
      <c r="M92">
        <v>2.7876358745592481E-12</v>
      </c>
      <c r="N92">
        <v>1.467091680858047E-13</v>
      </c>
      <c r="O92">
        <v>7.7210873187775913E-15</v>
      </c>
      <c r="P92">
        <v>4.0634944742725138E-16</v>
      </c>
      <c r="Q92">
        <v>2.1385572601050475E-17</v>
      </c>
      <c r="R92">
        <v>1.1254911473519664E-18</v>
      </c>
      <c r="S92">
        <v>5.9232487356411437E-20</v>
      </c>
      <c r="T92">
        <v>3.1087081407570333E-21</v>
      </c>
    </row>
    <row r="93" spans="1:20" x14ac:dyDescent="0.2">
      <c r="B93">
        <v>1.3082906441345371E-4</v>
      </c>
      <c r="C93">
        <v>2.4927817449707313E-3</v>
      </c>
      <c r="D93">
        <v>4.7365962691442845E-2</v>
      </c>
      <c r="E93">
        <v>0.90000550989649619</v>
      </c>
      <c r="F93">
        <v>4.7365963695108523E-2</v>
      </c>
      <c r="G93">
        <v>2.4928008685461858E-3</v>
      </c>
      <c r="H93">
        <v>1.3119243620216559E-4</v>
      </c>
      <c r="I93">
        <v>6.904464585932653E-6</v>
      </c>
      <c r="J93">
        <v>3.6337179641162287E-7</v>
      </c>
      <c r="K93">
        <v>1.9123722163255059E-8</v>
      </c>
      <c r="L93">
        <v>1.0064533158294255E-9</v>
      </c>
      <c r="M93">
        <v>5.2968154854830339E-11</v>
      </c>
      <c r="N93">
        <v>2.7876359336281296E-12</v>
      </c>
      <c r="O93">
        <v>1.4670917119451285E-13</v>
      </c>
      <c r="P93">
        <v>7.7210874823830706E-15</v>
      </c>
      <c r="Q93">
        <v>4.0634945601378357E-16</v>
      </c>
      <c r="R93">
        <v>2.1385572601050475E-17</v>
      </c>
      <c r="S93">
        <v>1.1254825608194757E-18</v>
      </c>
      <c r="T93">
        <v>5.9068881879748728E-20</v>
      </c>
    </row>
    <row r="94" spans="1:20" x14ac:dyDescent="0.2">
      <c r="B94">
        <v>6.8853408641746251E-6</v>
      </c>
      <c r="C94">
        <v>1.3119142975657086E-4</v>
      </c>
      <c r="D94">
        <v>2.4928008157247407E-3</v>
      </c>
      <c r="E94">
        <v>4.736596369510853E-2</v>
      </c>
      <c r="F94">
        <v>0.90000550994931761</v>
      </c>
      <c r="G94">
        <v>4.7365963697888432E-2</v>
      </c>
      <c r="H94">
        <v>2.492800868692488E-3</v>
      </c>
      <c r="I94">
        <v>1.3119243620986532E-4</v>
      </c>
      <c r="J94">
        <v>6.9044645863378753E-6</v>
      </c>
      <c r="K94">
        <v>3.633717964329492E-7</v>
      </c>
      <c r="L94">
        <v>1.9123722164377434E-8</v>
      </c>
      <c r="M94">
        <v>1.0064533158884941E-9</v>
      </c>
      <c r="N94">
        <v>5.2968154857939045E-11</v>
      </c>
      <c r="O94">
        <v>2.7876359337917353E-12</v>
      </c>
      <c r="P94">
        <v>1.4670917120309941E-13</v>
      </c>
      <c r="Q94">
        <v>7.7210874823830642E-15</v>
      </c>
      <c r="R94">
        <v>4.0634944742725114E-16</v>
      </c>
      <c r="S94">
        <v>2.138540899557381E-17</v>
      </c>
      <c r="T94">
        <v>1.1223738526787186E-18</v>
      </c>
    </row>
    <row r="95" spans="1:20" x14ac:dyDescent="0.2">
      <c r="B95">
        <v>3.6236534311712007E-7</v>
      </c>
      <c r="C95">
        <v>6.9044116181841457E-6</v>
      </c>
      <c r="D95">
        <v>1.3119243342225081E-4</v>
      </c>
      <c r="E95">
        <v>2.4928008685461858E-3</v>
      </c>
      <c r="F95">
        <v>4.7365963697888439E-2</v>
      </c>
      <c r="G95">
        <v>0.90000550994946382</v>
      </c>
      <c r="H95">
        <v>4.7365963697896127E-2</v>
      </c>
      <c r="I95">
        <v>2.4928008686928931E-3</v>
      </c>
      <c r="J95">
        <v>1.3119243620988663E-4</v>
      </c>
      <c r="K95">
        <v>6.9044645863389968E-6</v>
      </c>
      <c r="L95">
        <v>3.6337179643300828E-7</v>
      </c>
      <c r="M95">
        <v>1.9123722164380538E-8</v>
      </c>
      <c r="N95">
        <v>1.0064533158886577E-9</v>
      </c>
      <c r="O95">
        <v>5.2968154857947627E-11</v>
      </c>
      <c r="P95">
        <v>2.7876359337917357E-12</v>
      </c>
      <c r="Q95">
        <v>1.4670917119451277E-13</v>
      </c>
      <c r="R95">
        <v>7.7210873187775881E-15</v>
      </c>
      <c r="S95">
        <v>4.0634633871911033E-16</v>
      </c>
      <c r="T95">
        <v>2.1326340113694053E-17</v>
      </c>
    </row>
    <row r="96" spans="1:20" x14ac:dyDescent="0.2">
      <c r="B96">
        <v>1.9070754009522616E-8</v>
      </c>
      <c r="C96">
        <v>3.6336900879707484E-7</v>
      </c>
      <c r="D96">
        <v>6.9044644396298334E-6</v>
      </c>
      <c r="E96">
        <v>1.3119243620216564E-4</v>
      </c>
      <c r="F96">
        <v>2.4928008686924885E-3</v>
      </c>
      <c r="G96">
        <v>4.7365963697896134E-2</v>
      </c>
      <c r="H96">
        <v>0.90000550994946416</v>
      </c>
      <c r="I96">
        <v>4.7365963697896148E-2</v>
      </c>
      <c r="J96">
        <v>2.4928008686928944E-3</v>
      </c>
      <c r="K96">
        <v>1.3119243620988668E-4</v>
      </c>
      <c r="L96">
        <v>6.9044645863390002E-6</v>
      </c>
      <c r="M96">
        <v>3.6337179643300839E-7</v>
      </c>
      <c r="N96">
        <v>1.9123722164380545E-8</v>
      </c>
      <c r="O96">
        <v>1.0064533158886577E-9</v>
      </c>
      <c r="P96">
        <v>5.2968154857939058E-11</v>
      </c>
      <c r="Q96">
        <v>2.7876359336281284E-12</v>
      </c>
      <c r="R96">
        <v>1.4670916808580465E-13</v>
      </c>
      <c r="S96">
        <v>7.7210282498957081E-15</v>
      </c>
      <c r="T96">
        <v>4.0522396486643153E-16</v>
      </c>
    </row>
    <row r="97" spans="2:20" x14ac:dyDescent="0.2">
      <c r="B97">
        <v>1.0036656799548669E-9</v>
      </c>
      <c r="C97">
        <v>1.9123575455209356E-8</v>
      </c>
      <c r="D97">
        <v>3.6337178871192122E-7</v>
      </c>
      <c r="E97">
        <v>6.904464585932653E-6</v>
      </c>
      <c r="F97">
        <v>1.3119243620986538E-4</v>
      </c>
      <c r="G97">
        <v>2.4928008686928935E-3</v>
      </c>
      <c r="H97">
        <v>4.7365963697896148E-2</v>
      </c>
      <c r="I97">
        <v>0.90000550994946416</v>
      </c>
      <c r="J97">
        <v>4.7365963697896148E-2</v>
      </c>
      <c r="K97">
        <v>2.4928008686928944E-3</v>
      </c>
      <c r="L97">
        <v>1.3119243620988668E-4</v>
      </c>
      <c r="M97">
        <v>6.9044645863390002E-6</v>
      </c>
      <c r="N97">
        <v>3.6337179643300839E-7</v>
      </c>
      <c r="O97">
        <v>1.9123722164380538E-8</v>
      </c>
      <c r="P97">
        <v>1.0064533158884943E-9</v>
      </c>
      <c r="Q97">
        <v>5.2968154854830313E-11</v>
      </c>
      <c r="R97">
        <v>2.7876358745592469E-12</v>
      </c>
      <c r="S97">
        <v>1.4670804571195197E-13</v>
      </c>
      <c r="T97">
        <v>7.6997019097820138E-15</v>
      </c>
    </row>
    <row r="98" spans="2:20" x14ac:dyDescent="0.2">
      <c r="B98">
        <v>5.2821445686744569E-11</v>
      </c>
      <c r="C98">
        <v>1.0064455948011761E-9</v>
      </c>
      <c r="D98">
        <v>1.9123721758031106E-8</v>
      </c>
      <c r="E98">
        <v>3.6337179641162303E-7</v>
      </c>
      <c r="F98">
        <v>6.9044645863378778E-6</v>
      </c>
      <c r="G98">
        <v>1.3119243620988665E-4</v>
      </c>
      <c r="H98">
        <v>2.4928008686928948E-3</v>
      </c>
      <c r="I98">
        <v>4.7365963697896148E-2</v>
      </c>
      <c r="J98">
        <v>0.90000550994946416</v>
      </c>
      <c r="K98">
        <v>4.7365963697896148E-2</v>
      </c>
      <c r="L98">
        <v>2.4928008686928944E-3</v>
      </c>
      <c r="M98">
        <v>1.3119243620988668E-4</v>
      </c>
      <c r="N98">
        <v>6.9044645863390002E-6</v>
      </c>
      <c r="O98">
        <v>3.6337179643300823E-7</v>
      </c>
      <c r="P98">
        <v>1.9123722164377434E-8</v>
      </c>
      <c r="Q98">
        <v>1.0064533158294249E-9</v>
      </c>
      <c r="R98">
        <v>5.2968153732456476E-11</v>
      </c>
      <c r="S98">
        <v>2.7876145482191333E-12</v>
      </c>
      <c r="T98">
        <v>1.4630282174708554E-13</v>
      </c>
    </row>
    <row r="99" spans="2:20" x14ac:dyDescent="0.2">
      <c r="B99">
        <v>2.779914846309354E-12</v>
      </c>
      <c r="C99">
        <v>5.296774850849165E-11</v>
      </c>
      <c r="D99">
        <v>1.0064532945030858E-9</v>
      </c>
      <c r="E99">
        <v>1.9123722163255066E-8</v>
      </c>
      <c r="F99">
        <v>3.6337179643294936E-7</v>
      </c>
      <c r="G99">
        <v>6.9044645863389985E-6</v>
      </c>
      <c r="H99">
        <v>1.3119243620988671E-4</v>
      </c>
      <c r="I99">
        <v>2.4928008686928948E-3</v>
      </c>
      <c r="J99">
        <v>4.7365963697896148E-2</v>
      </c>
      <c r="K99">
        <v>0.90000550994946416</v>
      </c>
      <c r="L99">
        <v>4.7365963697896148E-2</v>
      </c>
      <c r="M99">
        <v>2.4928008686928944E-3</v>
      </c>
      <c r="N99">
        <v>1.3119243620988668E-4</v>
      </c>
      <c r="O99">
        <v>6.9044645863389968E-6</v>
      </c>
      <c r="P99">
        <v>3.6337179643294925E-7</v>
      </c>
      <c r="Q99">
        <v>1.9123722163255053E-8</v>
      </c>
      <c r="R99">
        <v>1.0064532945030852E-9</v>
      </c>
      <c r="S99">
        <v>5.2967748508491605E-11</v>
      </c>
      <c r="T99">
        <v>2.7799148463093511E-12</v>
      </c>
    </row>
    <row r="100" spans="2:20" x14ac:dyDescent="0.2">
      <c r="B100">
        <v>1.4630282174708569E-13</v>
      </c>
      <c r="C100">
        <v>2.7876145482191358E-12</v>
      </c>
      <c r="D100">
        <v>5.2968153732456521E-11</v>
      </c>
      <c r="E100">
        <v>1.0064533158294257E-9</v>
      </c>
      <c r="F100">
        <v>1.9123722164377441E-8</v>
      </c>
      <c r="G100">
        <v>3.6337179643300833E-7</v>
      </c>
      <c r="H100">
        <v>6.9044645863390018E-6</v>
      </c>
      <c r="I100">
        <v>1.3119243620988671E-4</v>
      </c>
      <c r="J100">
        <v>2.4928008686928948E-3</v>
      </c>
      <c r="K100">
        <v>4.7365963697896148E-2</v>
      </c>
      <c r="L100">
        <v>0.90000550994946416</v>
      </c>
      <c r="M100">
        <v>4.7365963697896148E-2</v>
      </c>
      <c r="N100">
        <v>2.4928008686928944E-3</v>
      </c>
      <c r="O100">
        <v>1.3119243620988663E-4</v>
      </c>
      <c r="P100">
        <v>6.9044645863378761E-6</v>
      </c>
      <c r="Q100">
        <v>3.6337179641162281E-7</v>
      </c>
      <c r="R100">
        <v>1.9123721758031093E-8</v>
      </c>
      <c r="S100">
        <v>1.0064455948011752E-9</v>
      </c>
      <c r="T100">
        <v>5.2821445686744524E-11</v>
      </c>
    </row>
    <row r="101" spans="2:20" x14ac:dyDescent="0.2">
      <c r="B101">
        <v>7.6997019097820217E-15</v>
      </c>
      <c r="C101">
        <v>1.4670804571195212E-13</v>
      </c>
      <c r="D101">
        <v>2.7876358745592493E-12</v>
      </c>
      <c r="E101">
        <v>5.2968154854830365E-11</v>
      </c>
      <c r="F101">
        <v>1.0064533158884947E-9</v>
      </c>
      <c r="G101">
        <v>1.9123722164380545E-8</v>
      </c>
      <c r="H101">
        <v>3.6337179643300854E-7</v>
      </c>
      <c r="I101">
        <v>6.9044645863390018E-6</v>
      </c>
      <c r="J101">
        <v>1.3119243620988671E-4</v>
      </c>
      <c r="K101">
        <v>2.4928008686928948E-3</v>
      </c>
      <c r="L101">
        <v>4.7365963697896148E-2</v>
      </c>
      <c r="M101">
        <v>0.90000550994946416</v>
      </c>
      <c r="N101">
        <v>4.7365963697896148E-2</v>
      </c>
      <c r="O101">
        <v>2.4928008686928931E-3</v>
      </c>
      <c r="P101">
        <v>1.3119243620986532E-4</v>
      </c>
      <c r="Q101">
        <v>6.9044645859326505E-6</v>
      </c>
      <c r="R101">
        <v>3.6337178871192095E-7</v>
      </c>
      <c r="S101">
        <v>1.9123575455209343E-8</v>
      </c>
      <c r="T101">
        <v>1.0036656799548658E-9</v>
      </c>
    </row>
    <row r="102" spans="2:20" x14ac:dyDescent="0.2">
      <c r="B102">
        <v>4.0522396486643207E-16</v>
      </c>
      <c r="C102">
        <v>7.7210282498957144E-15</v>
      </c>
      <c r="D102">
        <v>1.467091680858048E-13</v>
      </c>
      <c r="E102">
        <v>2.7876359336281308E-12</v>
      </c>
      <c r="F102">
        <v>5.2968154857939065E-11</v>
      </c>
      <c r="G102">
        <v>1.0064533158886579E-9</v>
      </c>
      <c r="H102">
        <v>1.9123722164380554E-8</v>
      </c>
      <c r="I102">
        <v>3.6337179643300849E-7</v>
      </c>
      <c r="J102">
        <v>6.9044645863390018E-6</v>
      </c>
      <c r="K102">
        <v>1.3119243620988671E-4</v>
      </c>
      <c r="L102">
        <v>2.4928008686928948E-3</v>
      </c>
      <c r="M102">
        <v>4.7365963697896148E-2</v>
      </c>
      <c r="N102">
        <v>0.90000550994946416</v>
      </c>
      <c r="O102">
        <v>4.7365963697896127E-2</v>
      </c>
      <c r="P102">
        <v>2.4928008686924885E-3</v>
      </c>
      <c r="Q102">
        <v>1.3119243620216559E-4</v>
      </c>
      <c r="R102">
        <v>6.90446443962983E-6</v>
      </c>
      <c r="S102">
        <v>3.6336900879707458E-7</v>
      </c>
      <c r="T102">
        <v>1.9070754009522596E-8</v>
      </c>
    </row>
    <row r="103" spans="2:20" x14ac:dyDescent="0.2">
      <c r="B103">
        <v>2.1326340113694081E-17</v>
      </c>
      <c r="C103">
        <v>4.0634633871911068E-16</v>
      </c>
      <c r="D103">
        <v>7.721087318777596E-15</v>
      </c>
      <c r="E103">
        <v>1.467091711945129E-13</v>
      </c>
      <c r="F103">
        <v>2.7876359337917361E-12</v>
      </c>
      <c r="G103">
        <v>5.2968154857947653E-11</v>
      </c>
      <c r="H103">
        <v>1.0064533158886581E-9</v>
      </c>
      <c r="I103">
        <v>1.9123722164380545E-8</v>
      </c>
      <c r="J103">
        <v>3.6337179643300833E-7</v>
      </c>
      <c r="K103">
        <v>6.9044645863389985E-6</v>
      </c>
      <c r="L103">
        <v>1.3119243620988665E-4</v>
      </c>
      <c r="M103">
        <v>2.4928008686928935E-3</v>
      </c>
      <c r="N103">
        <v>4.7365963697896134E-2</v>
      </c>
      <c r="O103">
        <v>0.90000550994946382</v>
      </c>
      <c r="P103">
        <v>4.7365963697888432E-2</v>
      </c>
      <c r="Q103">
        <v>2.4928008685461849E-3</v>
      </c>
      <c r="R103">
        <v>1.3119243342225075E-4</v>
      </c>
      <c r="S103">
        <v>6.9044116181841423E-6</v>
      </c>
      <c r="T103">
        <v>3.6236534311711975E-7</v>
      </c>
    </row>
    <row r="104" spans="2:20" x14ac:dyDescent="0.2">
      <c r="B104">
        <v>1.1223738526787199E-18</v>
      </c>
      <c r="C104">
        <v>2.1385408995573822E-17</v>
      </c>
      <c r="D104">
        <v>4.0634944742725153E-16</v>
      </c>
      <c r="E104">
        <v>7.7210874823830706E-15</v>
      </c>
      <c r="F104">
        <v>1.4670917120309941E-13</v>
      </c>
      <c r="G104">
        <v>2.7876359337917357E-12</v>
      </c>
      <c r="H104">
        <v>5.2968154857939058E-11</v>
      </c>
      <c r="I104">
        <v>1.0064533158884945E-9</v>
      </c>
      <c r="J104">
        <v>1.9123722164377438E-8</v>
      </c>
      <c r="K104">
        <v>3.633717964329493E-7</v>
      </c>
      <c r="L104">
        <v>6.9044645863378761E-6</v>
      </c>
      <c r="M104">
        <v>1.3119243620986532E-4</v>
      </c>
      <c r="N104">
        <v>2.4928008686924885E-3</v>
      </c>
      <c r="O104">
        <v>4.7365963697888432E-2</v>
      </c>
      <c r="P104">
        <v>0.90000550994931749</v>
      </c>
      <c r="Q104">
        <v>4.7365963695108509E-2</v>
      </c>
      <c r="R104">
        <v>2.4928008157247398E-3</v>
      </c>
      <c r="S104">
        <v>1.3119142975657078E-4</v>
      </c>
      <c r="T104">
        <v>6.88534086417462E-6</v>
      </c>
    </row>
    <row r="105" spans="2:20" x14ac:dyDescent="0.2">
      <c r="B105">
        <v>5.90688818797488E-20</v>
      </c>
      <c r="C105">
        <v>1.1254825608194765E-18</v>
      </c>
      <c r="D105">
        <v>2.138557260105049E-17</v>
      </c>
      <c r="E105">
        <v>4.0634945601378392E-16</v>
      </c>
      <c r="F105">
        <v>7.7210874823830706E-15</v>
      </c>
      <c r="G105">
        <v>1.467091711945129E-13</v>
      </c>
      <c r="H105">
        <v>2.78763593362813E-12</v>
      </c>
      <c r="I105">
        <v>5.2968154854830352E-11</v>
      </c>
      <c r="J105">
        <v>1.0064533158294255E-9</v>
      </c>
      <c r="K105">
        <v>1.9123722163255063E-8</v>
      </c>
      <c r="L105">
        <v>3.6337179641162297E-7</v>
      </c>
      <c r="M105">
        <v>6.9044645859326513E-6</v>
      </c>
      <c r="N105">
        <v>1.3119243620216562E-4</v>
      </c>
      <c r="O105">
        <v>2.4928008685461858E-3</v>
      </c>
      <c r="P105">
        <v>4.7365963695108516E-2</v>
      </c>
      <c r="Q105">
        <v>0.90000550989649608</v>
      </c>
      <c r="R105">
        <v>4.7365962691442838E-2</v>
      </c>
      <c r="S105">
        <v>2.49278174497073E-3</v>
      </c>
      <c r="T105">
        <v>1.3082906441345366E-4</v>
      </c>
    </row>
    <row r="106" spans="2:20" x14ac:dyDescent="0.2">
      <c r="B106">
        <v>3.1087081407570367E-21</v>
      </c>
      <c r="C106">
        <v>5.9232487356411473E-20</v>
      </c>
      <c r="D106">
        <v>1.125491147351967E-18</v>
      </c>
      <c r="E106">
        <v>2.1385572601050484E-17</v>
      </c>
      <c r="F106">
        <v>4.0634944742725143E-16</v>
      </c>
      <c r="G106">
        <v>7.7210873187775929E-15</v>
      </c>
      <c r="H106">
        <v>1.4670916808580473E-13</v>
      </c>
      <c r="I106">
        <v>2.7876358745592485E-12</v>
      </c>
      <c r="J106">
        <v>5.2968153732456502E-11</v>
      </c>
      <c r="K106">
        <v>1.0064532945030856E-9</v>
      </c>
      <c r="L106">
        <v>1.9123721758031096E-8</v>
      </c>
      <c r="M106">
        <v>3.6337178871192101E-7</v>
      </c>
      <c r="N106">
        <v>6.90446443962983E-6</v>
      </c>
      <c r="O106">
        <v>1.3119243342225075E-4</v>
      </c>
      <c r="P106">
        <v>2.4928008157247402E-3</v>
      </c>
      <c r="Q106">
        <v>4.7365962691442838E-2</v>
      </c>
      <c r="R106">
        <v>0.9000054908257421</v>
      </c>
      <c r="S106">
        <v>4.7365600326099717E-2</v>
      </c>
      <c r="T106">
        <v>2.4858964041065555E-3</v>
      </c>
    </row>
    <row r="107" spans="2:20" x14ac:dyDescent="0.2">
      <c r="B107">
        <v>1.6360547666269728E-22</v>
      </c>
      <c r="C107">
        <v>3.117294673247448E-21</v>
      </c>
      <c r="D107">
        <v>5.9232487356411485E-20</v>
      </c>
      <c r="E107">
        <v>1.1254825608194765E-18</v>
      </c>
      <c r="F107">
        <v>2.1385408995573825E-17</v>
      </c>
      <c r="G107">
        <v>4.0634633871911058E-16</v>
      </c>
      <c r="H107">
        <v>7.7210282498957129E-15</v>
      </c>
      <c r="I107">
        <v>1.4670804571195205E-13</v>
      </c>
      <c r="J107">
        <v>2.7876145482191345E-12</v>
      </c>
      <c r="K107">
        <v>5.2967748508491631E-11</v>
      </c>
      <c r="L107">
        <v>1.0064455948011757E-9</v>
      </c>
      <c r="M107">
        <v>1.9123575455209353E-8</v>
      </c>
      <c r="N107">
        <v>3.6336900879707474E-7</v>
      </c>
      <c r="O107">
        <v>6.904411618184144E-6</v>
      </c>
      <c r="P107">
        <v>1.3119142975657081E-4</v>
      </c>
      <c r="Q107">
        <v>2.4927817449707304E-3</v>
      </c>
      <c r="R107">
        <v>4.7365600326099717E-2</v>
      </c>
      <c r="S107">
        <v>0.89999860548487798</v>
      </c>
      <c r="T107">
        <v>4.7234771261686265E-2</v>
      </c>
    </row>
    <row r="108" spans="2:20" x14ac:dyDescent="0.2">
      <c r="B108">
        <v>8.5865324904122888E-24</v>
      </c>
      <c r="C108">
        <v>1.6360547666269721E-22</v>
      </c>
      <c r="D108">
        <v>3.1087081407570367E-21</v>
      </c>
      <c r="E108">
        <v>5.9068881879748776E-20</v>
      </c>
      <c r="F108">
        <v>1.1223738526787196E-18</v>
      </c>
      <c r="G108">
        <v>2.1326340113694069E-17</v>
      </c>
      <c r="H108">
        <v>4.0522396486643183E-16</v>
      </c>
      <c r="I108">
        <v>7.6997019097820185E-15</v>
      </c>
      <c r="J108">
        <v>1.4630282174708562E-13</v>
      </c>
      <c r="K108">
        <v>2.7799148463093527E-12</v>
      </c>
      <c r="L108">
        <v>5.2821445686744549E-11</v>
      </c>
      <c r="M108">
        <v>1.0036656799548662E-9</v>
      </c>
      <c r="N108">
        <v>1.9070754009522606E-8</v>
      </c>
      <c r="O108">
        <v>3.6236534311711986E-7</v>
      </c>
      <c r="P108">
        <v>6.8853408641746209E-6</v>
      </c>
      <c r="Q108">
        <v>1.3082906441345369E-4</v>
      </c>
      <c r="R108">
        <v>2.485896404106556E-3</v>
      </c>
      <c r="S108">
        <v>4.7234771261686265E-2</v>
      </c>
      <c r="T108">
        <v>0.89751270908077141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with k </vt:lpstr>
      <vt:lpstr>Sheet2</vt:lpstr>
      <vt:lpstr>without k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 julia</dc:creator>
  <cp:lastModifiedBy>sheng julia</cp:lastModifiedBy>
  <dcterms:created xsi:type="dcterms:W3CDTF">2019-04-25T19:05:04Z</dcterms:created>
  <dcterms:modified xsi:type="dcterms:W3CDTF">2019-04-29T21:52:50Z</dcterms:modified>
</cp:coreProperties>
</file>